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78E27A07-CE36-470F-895E-0AFF97000D31}" xr6:coauthVersionLast="36" xr6:coauthVersionMax="47" xr10:uidLastSave="{00000000-0000-0000-0000-000000000000}"/>
  <bookViews>
    <workbookView xWindow="0" yWindow="495" windowWidth="14370" windowHeight="8715" activeTab="6" xr2:uid="{00000000-000D-0000-FFFF-FFFF00000000}"/>
  </bookViews>
  <sheets>
    <sheet name="climate_change_1-step_vs_5-step" sheetId="15" r:id="rId1"/>
    <sheet name="climate_change_N_vs_H" sheetId="19" r:id="rId2"/>
    <sheet name="climate_change_blend" sheetId="25" r:id="rId3"/>
    <sheet name="climate_change_phenol" sheetId="28" r:id="rId4"/>
    <sheet name="economics_1-step_vs_5-step" sheetId="17" r:id="rId5"/>
    <sheet name="economics_N_vs_H" sheetId="20" r:id="rId6"/>
    <sheet name="economics_blend" sheetId="26" r:id="rId7"/>
    <sheet name="economics_phenol" sheetId="2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8" l="1"/>
  <c r="M2" i="28"/>
  <c r="L3" i="28"/>
  <c r="M3" i="28"/>
  <c r="L5" i="28"/>
  <c r="M5" i="28"/>
  <c r="J6" i="28"/>
  <c r="I6" i="28"/>
  <c r="H6" i="28"/>
  <c r="G6" i="28"/>
  <c r="E6" i="28"/>
  <c r="D6" i="28"/>
  <c r="C6" i="28"/>
  <c r="J5" i="28"/>
  <c r="I5" i="28"/>
  <c r="H5" i="28"/>
  <c r="G5" i="28"/>
  <c r="F5" i="28"/>
  <c r="C5" i="28"/>
  <c r="D5" i="28"/>
  <c r="K4" i="28"/>
  <c r="L4" i="28" s="1"/>
  <c r="K3" i="28"/>
  <c r="A3" i="28"/>
  <c r="A4" i="28" s="1"/>
  <c r="A5" i="28" s="1"/>
  <c r="A6" i="28" s="1"/>
  <c r="K2" i="28"/>
  <c r="M4" i="28" l="1"/>
  <c r="K5" i="28"/>
  <c r="K6" i="28"/>
  <c r="N2" i="27"/>
  <c r="M6" i="28" l="1"/>
  <c r="L6" i="28"/>
  <c r="K5" i="27"/>
  <c r="K3" i="27"/>
  <c r="K4" i="27" l="1"/>
  <c r="D6" i="27"/>
  <c r="D5" i="27"/>
  <c r="J6" i="27"/>
  <c r="I6" i="27"/>
  <c r="H6" i="27"/>
  <c r="K6" i="27" s="1"/>
  <c r="G6" i="27"/>
  <c r="J5" i="27"/>
  <c r="I5" i="27"/>
  <c r="H5" i="27"/>
  <c r="G5" i="27"/>
  <c r="K2" i="27"/>
  <c r="A3" i="27"/>
  <c r="A4" i="27" s="1"/>
  <c r="A5" i="27" s="1"/>
  <c r="A6" i="27" s="1"/>
  <c r="F5" i="15" l="1"/>
  <c r="N2" i="26" l="1"/>
  <c r="I4" i="25"/>
  <c r="J4" i="25" s="1"/>
  <c r="J2" i="25"/>
  <c r="M2" i="26"/>
  <c r="L2" i="26"/>
  <c r="K2" i="26"/>
  <c r="J2" i="26"/>
  <c r="I2" i="26"/>
  <c r="H2" i="26"/>
  <c r="G2" i="26"/>
  <c r="F2" i="26"/>
  <c r="E2" i="26"/>
  <c r="D2" i="26"/>
  <c r="C2" i="26"/>
  <c r="K3" i="26"/>
  <c r="A3" i="26"/>
  <c r="E2" i="25"/>
  <c r="D4" i="25"/>
  <c r="E4" i="25" s="1"/>
  <c r="A3" i="25"/>
  <c r="A4" i="25" s="1"/>
  <c r="E5" i="20"/>
  <c r="K3" i="20"/>
  <c r="J5" i="20"/>
  <c r="I5" i="20"/>
  <c r="H5" i="20"/>
  <c r="G5" i="20"/>
  <c r="F5" i="20"/>
  <c r="C5" i="20"/>
  <c r="J5" i="25" l="1"/>
  <c r="E5" i="25"/>
  <c r="K5" i="20"/>
  <c r="K2" i="20" l="1"/>
  <c r="E4" i="20"/>
  <c r="D4" i="20"/>
  <c r="K4" i="20" s="1"/>
  <c r="H4" i="17"/>
  <c r="G4" i="17"/>
  <c r="F4" i="17"/>
  <c r="E4" i="17"/>
  <c r="D4" i="17"/>
  <c r="G5" i="17" l="1"/>
  <c r="I4" i="17"/>
  <c r="I3" i="17"/>
  <c r="I2" i="17"/>
  <c r="F5" i="17"/>
  <c r="E5" i="17"/>
  <c r="D5" i="17"/>
  <c r="I5" i="17" l="1"/>
  <c r="J5" i="19"/>
  <c r="I5" i="19"/>
  <c r="H5" i="19"/>
  <c r="G5" i="19"/>
  <c r="F5" i="19"/>
  <c r="E5" i="19"/>
  <c r="J4" i="19"/>
  <c r="I4" i="19"/>
  <c r="H4" i="19"/>
  <c r="G4" i="19"/>
  <c r="F4" i="19"/>
  <c r="E4" i="19"/>
  <c r="D4" i="19"/>
  <c r="K2" i="19"/>
  <c r="K3" i="19"/>
  <c r="H4" i="15"/>
  <c r="G4" i="15"/>
  <c r="F4" i="15"/>
  <c r="E4" i="15"/>
  <c r="D4" i="15"/>
  <c r="H5" i="15"/>
  <c r="G5" i="15"/>
  <c r="E5" i="15"/>
  <c r="D5" i="15"/>
  <c r="M3" i="19" l="1"/>
  <c r="L3" i="19"/>
  <c r="M2" i="19"/>
  <c r="L2" i="19"/>
  <c r="K5" i="19"/>
  <c r="K4" i="19"/>
  <c r="M5" i="19" l="1"/>
  <c r="L5" i="19"/>
  <c r="M4" i="19"/>
  <c r="L4" i="19"/>
  <c r="A3" i="20"/>
  <c r="A4" i="20" s="1"/>
  <c r="A5" i="20" s="1"/>
  <c r="A3" i="19"/>
  <c r="A4" i="19" s="1"/>
  <c r="A5" i="19" s="1"/>
  <c r="A3" i="17" l="1"/>
  <c r="A4" i="17" s="1"/>
  <c r="A5" i="17" s="1"/>
  <c r="I3" i="15"/>
  <c r="I2" i="15"/>
  <c r="K2" i="15" l="1"/>
  <c r="J2" i="15"/>
  <c r="K3" i="15"/>
  <c r="J3" i="15"/>
  <c r="I4" i="15"/>
  <c r="I5" i="15"/>
  <c r="K4" i="15" l="1"/>
  <c r="J4" i="15"/>
  <c r="J5" i="15"/>
  <c r="K5" i="15"/>
  <c r="A3" i="15"/>
  <c r="A4" i="15" s="1"/>
  <c r="A5" i="15" s="1"/>
</calcChain>
</file>

<file path=xl/sharedStrings.xml><?xml version="1.0" encoding="utf-8"?>
<sst xmlns="http://schemas.openxmlformats.org/spreadsheetml/2006/main" count="126" uniqueCount="23">
  <si>
    <t>Electricity</t>
  </si>
  <si>
    <t>Total</t>
  </si>
  <si>
    <t>Direct emissions</t>
  </si>
  <si>
    <t>Scenario</t>
  </si>
  <si>
    <t>CAPEX</t>
  </si>
  <si>
    <t>Ammonia</t>
  </si>
  <si>
    <t>Hydrogen</t>
  </si>
  <si>
    <t>2-Ethylanthraquinone</t>
  </si>
  <si>
    <t>Heating</t>
  </si>
  <si>
    <t>Cooling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</si>
  <si>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</si>
  <si>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</si>
  <si>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Impact 2050</t>
  </si>
  <si>
    <t>1-step</t>
  </si>
  <si>
    <t>5-step</t>
  </si>
  <si>
    <t>Low</t>
  </si>
  <si>
    <t>High</t>
  </si>
  <si>
    <t>STDEV</t>
  </si>
  <si>
    <t>Benzene</t>
  </si>
  <si>
    <t>Nitrous oxide</t>
  </si>
  <si>
    <t>Hydrogen peroxide</t>
  </si>
  <si>
    <t>BAU</t>
  </si>
  <si>
    <t>Cumene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</si>
</sst>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B293-21A4-490E-8B90-BF3EE8D79D2C}">
  <dimension ref="A1:M5"/>
  <sheetViews>
    <sheetView zoomScale="160" zoomScaleNormal="160" workbookViewId="0">
      <selection activeCell="M2" sqref="M2:M5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3" width="9.5703125" bestFit="1" customWidth="1"/>
    <col min="4" max="4" width="9.7109375" bestFit="1" customWidth="1"/>
    <col min="5" max="5" width="7.85546875" bestFit="1" customWidth="1"/>
    <col min="6" max="6" width="7.7109375" bestFit="1" customWidth="1"/>
    <col min="7" max="7" width="6.7109375" bestFit="1" customWidth="1"/>
    <col min="8" max="8" width="15.7109375" bestFit="1" customWidth="1"/>
    <col min="9" max="9" width="6.140625" bestFit="1" customWidth="1"/>
    <col min="10" max="11" width="5.5703125" bestFit="1" customWidth="1"/>
    <col min="12" max="12" width="11.42578125" bestFit="1" customWidth="1"/>
    <col min="13" max="13" width="6.5703125" bestFit="1" customWidth="1"/>
  </cols>
  <sheetData>
    <row r="1" spans="1:13" x14ac:dyDescent="0.25">
      <c r="B1" s="1" t="s">
        <v>3</v>
      </c>
      <c r="C1" s="1" t="s">
        <v>5</v>
      </c>
      <c r="D1" s="1" t="s">
        <v>0</v>
      </c>
      <c r="E1" s="1" t="s">
        <v>8</v>
      </c>
      <c r="F1" s="1" t="s">
        <v>9</v>
      </c>
      <c r="G1" s="1" t="s">
        <v>4</v>
      </c>
      <c r="H1" s="1" t="s">
        <v>2</v>
      </c>
      <c r="I1" s="3" t="s">
        <v>1</v>
      </c>
      <c r="J1" s="3" t="s">
        <v>15</v>
      </c>
      <c r="K1" s="3" t="s">
        <v>16</v>
      </c>
      <c r="L1" s="4" t="s">
        <v>12</v>
      </c>
      <c r="M1" s="3" t="s">
        <v>17</v>
      </c>
    </row>
    <row r="2" spans="1:13" x14ac:dyDescent="0.25">
      <c r="A2" s="2">
        <v>0</v>
      </c>
      <c r="B2" s="1" t="s">
        <v>13</v>
      </c>
      <c r="C2" s="4">
        <v>2.7847923692552938</v>
      </c>
      <c r="D2" s="4">
        <v>3.4123147795212243E-2</v>
      </c>
      <c r="E2" s="4">
        <v>0</v>
      </c>
      <c r="F2" s="4">
        <v>2.2762815835674303E-3</v>
      </c>
      <c r="G2" s="4">
        <v>0</v>
      </c>
      <c r="H2" s="4">
        <v>0</v>
      </c>
      <c r="I2" s="4">
        <f>SUM(C2:H2)</f>
        <v>2.8211917986340733</v>
      </c>
      <c r="J2" s="4">
        <f>I2-2*M2</f>
        <v>2.0026681598636191</v>
      </c>
      <c r="K2" s="4">
        <f>I2+2*M2</f>
        <v>3.6397154374045275</v>
      </c>
      <c r="L2" s="4">
        <v>2.66364887068573</v>
      </c>
      <c r="M2" s="4">
        <v>0.40926181938522715</v>
      </c>
    </row>
    <row r="3" spans="1:13" x14ac:dyDescent="0.25">
      <c r="A3" s="2">
        <f>A2+1</f>
        <v>1</v>
      </c>
      <c r="B3" s="1" t="s">
        <v>14</v>
      </c>
      <c r="C3" s="4">
        <v>3.0433671996858762</v>
      </c>
      <c r="D3" s="4">
        <v>0.37149029531501848</v>
      </c>
      <c r="E3" s="4">
        <v>2.0038875775651482E-2</v>
      </c>
      <c r="F3" s="4">
        <v>5.4826202807131763E-3</v>
      </c>
      <c r="G3" s="4">
        <v>0</v>
      </c>
      <c r="H3" s="4">
        <v>2.530295351022005E-8</v>
      </c>
      <c r="I3" s="4">
        <f>SUM(C3:H3)</f>
        <v>3.4403790163602128</v>
      </c>
      <c r="J3" s="4">
        <f>I3-2*M3</f>
        <v>2.4654650415390873</v>
      </c>
      <c r="K3" s="4">
        <f t="shared" ref="K3:K5" si="0">I3+2*M3</f>
        <v>4.4152929911813388</v>
      </c>
      <c r="L3" s="4">
        <v>2.9332129887485459</v>
      </c>
      <c r="M3" s="4">
        <v>0.48745698741056281</v>
      </c>
    </row>
    <row r="4" spans="1:13" x14ac:dyDescent="0.25">
      <c r="A4" s="2">
        <f t="shared" ref="A4:A5" si="1">A3+1</f>
        <v>2</v>
      </c>
      <c r="B4" s="1" t="s">
        <v>13</v>
      </c>
      <c r="C4" s="4">
        <v>0.66616005754134133</v>
      </c>
      <c r="D4" s="4">
        <f t="shared" ref="D4:H5" si="2">D2</f>
        <v>3.4123147795212243E-2</v>
      </c>
      <c r="E4" s="4">
        <f t="shared" si="2"/>
        <v>0</v>
      </c>
      <c r="F4" s="4">
        <f t="shared" si="2"/>
        <v>2.2762815835674303E-3</v>
      </c>
      <c r="G4" s="4">
        <f t="shared" si="2"/>
        <v>0</v>
      </c>
      <c r="H4" s="4">
        <f t="shared" si="2"/>
        <v>0</v>
      </c>
      <c r="I4" s="4">
        <f>SUM(C4:H4)</f>
        <v>0.70255948692012093</v>
      </c>
      <c r="J4" s="4">
        <f>I4-2*M4</f>
        <v>0.24900102092135196</v>
      </c>
      <c r="K4" s="4">
        <f t="shared" si="0"/>
        <v>1.1561179529188899</v>
      </c>
      <c r="L4" s="4">
        <v>0.21045218805686819</v>
      </c>
      <c r="M4" s="4">
        <v>0.22677923299938449</v>
      </c>
    </row>
    <row r="5" spans="1:13" x14ac:dyDescent="0.25">
      <c r="A5" s="2">
        <f t="shared" si="1"/>
        <v>3</v>
      </c>
      <c r="B5" s="1" t="s">
        <v>14</v>
      </c>
      <c r="C5" s="4">
        <v>0.7280146596366639</v>
      </c>
      <c r="D5" s="4">
        <f t="shared" si="2"/>
        <v>0.37149029531501848</v>
      </c>
      <c r="E5" s="4">
        <f t="shared" si="2"/>
        <v>2.0038875775651482E-2</v>
      </c>
      <c r="F5" s="4">
        <f t="shared" si="2"/>
        <v>5.4826202807131763E-3</v>
      </c>
      <c r="G5" s="4">
        <f t="shared" si="2"/>
        <v>0</v>
      </c>
      <c r="H5" s="4">
        <f t="shared" si="2"/>
        <v>2.530295351022005E-8</v>
      </c>
      <c r="I5" s="4">
        <f>SUM(C5:H5)</f>
        <v>1.1250264763110007</v>
      </c>
      <c r="J5" s="4">
        <f>I5-2*M5</f>
        <v>0.6258290034965821</v>
      </c>
      <c r="K5" s="4">
        <f t="shared" si="0"/>
        <v>1.6242239491254193</v>
      </c>
      <c r="L5" s="4">
        <v>0.25223107945362933</v>
      </c>
      <c r="M5" s="4">
        <v>0.24959873640720928</v>
      </c>
    </row>
  </sheetData>
  <conditionalFormatting sqref="I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 K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 K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K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 K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 K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3BC3-354F-45C6-8CAE-219067639518}">
  <dimension ref="A1:O5"/>
  <sheetViews>
    <sheetView zoomScale="145" zoomScaleNormal="145" workbookViewId="0">
      <selection activeCell="H24" sqref="H24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  <col min="14" max="14" width="12" bestFit="1" customWidth="1"/>
  </cols>
  <sheetData>
    <row r="1" spans="1:15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4" t="s">
        <v>12</v>
      </c>
      <c r="O1" s="3" t="s">
        <v>17</v>
      </c>
    </row>
    <row r="2" spans="1:15" ht="18" x14ac:dyDescent="0.35">
      <c r="A2" s="2">
        <v>0</v>
      </c>
      <c r="B2" s="1" t="s">
        <v>10</v>
      </c>
      <c r="C2" s="4">
        <v>2.7847923692552938</v>
      </c>
      <c r="D2" s="4">
        <v>0</v>
      </c>
      <c r="E2" s="4">
        <v>0</v>
      </c>
      <c r="F2" s="4">
        <v>3.4123147795212243E-2</v>
      </c>
      <c r="G2" s="4">
        <v>0</v>
      </c>
      <c r="H2" s="4">
        <v>2.2762815835674303E-3</v>
      </c>
      <c r="I2" s="4">
        <v>0</v>
      </c>
      <c r="J2" s="4">
        <v>0</v>
      </c>
      <c r="K2" s="4">
        <f>SUM(C2:J2)</f>
        <v>2.8211917986340733</v>
      </c>
      <c r="L2" s="4">
        <f>K2-2*O2</f>
        <v>2.0026681598636191</v>
      </c>
      <c r="M2" s="4">
        <f>K2+2*O2</f>
        <v>3.6397154374045275</v>
      </c>
      <c r="N2" s="4">
        <v>2.66364887068573</v>
      </c>
      <c r="O2" s="4">
        <v>0.40926181938522715</v>
      </c>
    </row>
    <row r="3" spans="1:15" ht="18" x14ac:dyDescent="0.35">
      <c r="A3" s="2">
        <f>A2+1</f>
        <v>1</v>
      </c>
      <c r="B3" s="1" t="s">
        <v>11</v>
      </c>
      <c r="C3" s="4">
        <v>0</v>
      </c>
      <c r="D3" s="4">
        <v>0.93402477368207926</v>
      </c>
      <c r="E3" s="4">
        <v>7.1590206014822355E-2</v>
      </c>
      <c r="F3" s="4">
        <v>6.0084848449885563E-2</v>
      </c>
      <c r="G3" s="4">
        <v>0.13736127144905741</v>
      </c>
      <c r="H3" s="4">
        <v>1.2946870231473496E-3</v>
      </c>
      <c r="I3" s="4">
        <v>0</v>
      </c>
      <c r="J3" s="4">
        <v>8.1327667296859252E-2</v>
      </c>
      <c r="K3" s="4">
        <f>SUM(C3:J3)</f>
        <v>1.285683453915851</v>
      </c>
      <c r="L3" s="4">
        <f>K3-2*O3</f>
        <v>1.0106450775826297</v>
      </c>
      <c r="M3" s="4">
        <f>K3+2*O3</f>
        <v>1.5607218302490724</v>
      </c>
      <c r="N3" s="4">
        <v>1.1491449273765</v>
      </c>
      <c r="O3" s="4">
        <v>0.13751918816661066</v>
      </c>
    </row>
    <row r="4" spans="1:15" ht="18" x14ac:dyDescent="0.35">
      <c r="A4" s="2">
        <f t="shared" ref="A4:A5" si="0">A3+1</f>
        <v>2</v>
      </c>
      <c r="B4" s="1" t="s">
        <v>10</v>
      </c>
      <c r="C4" s="4">
        <v>0.66616005754134133</v>
      </c>
      <c r="D4" s="4">
        <f t="shared" ref="D4:J4" si="1">D2</f>
        <v>0</v>
      </c>
      <c r="E4" s="4">
        <f t="shared" si="1"/>
        <v>0</v>
      </c>
      <c r="F4" s="4">
        <f t="shared" si="1"/>
        <v>3.4123147795212243E-2</v>
      </c>
      <c r="G4" s="4">
        <f t="shared" si="1"/>
        <v>0</v>
      </c>
      <c r="H4" s="4">
        <f t="shared" si="1"/>
        <v>2.2762815835674303E-3</v>
      </c>
      <c r="I4" s="4">
        <f t="shared" si="1"/>
        <v>0</v>
      </c>
      <c r="J4" s="4">
        <f t="shared" si="1"/>
        <v>0</v>
      </c>
      <c r="K4" s="4">
        <f>SUM(C4:J4)</f>
        <v>0.70255948692012093</v>
      </c>
      <c r="L4" s="4">
        <f>K4-2*O4</f>
        <v>0.24900102092135196</v>
      </c>
      <c r="M4" s="4">
        <f>K4+2*O4</f>
        <v>1.1561179529188899</v>
      </c>
      <c r="N4" s="4">
        <v>0.21045218805686819</v>
      </c>
      <c r="O4" s="4">
        <v>0.22677923299938449</v>
      </c>
    </row>
    <row r="5" spans="1:15" ht="18" x14ac:dyDescent="0.35">
      <c r="A5" s="2">
        <f t="shared" si="0"/>
        <v>3</v>
      </c>
      <c r="B5" s="1" t="s">
        <v>11</v>
      </c>
      <c r="C5" s="4">
        <v>0</v>
      </c>
      <c r="D5" s="4">
        <v>0.14054270293497931</v>
      </c>
      <c r="E5" s="4">
        <f t="shared" ref="E5:J5" si="2">E3</f>
        <v>7.1590206014822355E-2</v>
      </c>
      <c r="F5" s="4">
        <f t="shared" si="2"/>
        <v>6.0084848449885563E-2</v>
      </c>
      <c r="G5" s="4">
        <f t="shared" si="2"/>
        <v>0.13736127144905741</v>
      </c>
      <c r="H5" s="4">
        <f t="shared" si="2"/>
        <v>1.2946870231473496E-3</v>
      </c>
      <c r="I5" s="4">
        <f t="shared" si="2"/>
        <v>0</v>
      </c>
      <c r="J5" s="4">
        <f t="shared" si="2"/>
        <v>8.1327667296859252E-2</v>
      </c>
      <c r="K5" s="4">
        <f>SUM(C5:J5)</f>
        <v>0.49220138316875123</v>
      </c>
      <c r="L5" s="4">
        <f>K5-2*O5</f>
        <v>0.29838309889064307</v>
      </c>
      <c r="M5" s="4">
        <f>K5+2*O5</f>
        <v>0.68601966744685938</v>
      </c>
      <c r="N5" s="4">
        <v>0.37067895766329961</v>
      </c>
      <c r="O5" s="4">
        <v>9.6909142139054077E-2</v>
      </c>
    </row>
  </sheetData>
  <conditionalFormatting sqref="K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77D1-A220-4450-A857-787225E6CDCC}">
  <dimension ref="A1:J5"/>
  <sheetViews>
    <sheetView zoomScaleNormal="100" workbookViewId="0">
      <selection activeCell="U17" sqref="U17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3" width="6.140625" bestFit="1" customWidth="1"/>
    <col min="8" max="8" width="5.5703125" bestFit="1" customWidth="1"/>
  </cols>
  <sheetData>
    <row r="1" spans="1:10" x14ac:dyDescent="0.25">
      <c r="B1" s="8" t="s">
        <v>3</v>
      </c>
      <c r="C1" s="9">
        <v>2020</v>
      </c>
      <c r="G1" s="8" t="s">
        <v>3</v>
      </c>
      <c r="H1" s="8">
        <v>2050</v>
      </c>
    </row>
    <row r="2" spans="1:10" ht="18" x14ac:dyDescent="0.35">
      <c r="A2" s="2">
        <v>0</v>
      </c>
      <c r="B2" s="1" t="s">
        <v>10</v>
      </c>
      <c r="C2" s="4">
        <v>2.8211917986340733</v>
      </c>
      <c r="D2" s="5">
        <v>0.27538545025204569</v>
      </c>
      <c r="E2" s="4">
        <f>D2*C2</f>
        <v>0.77691517371422292</v>
      </c>
      <c r="G2" s="1" t="s">
        <v>10</v>
      </c>
      <c r="H2" s="7">
        <v>2.66364887068573</v>
      </c>
      <c r="I2" s="5">
        <v>0.38258155923208642</v>
      </c>
      <c r="J2" s="4">
        <f>I2*H2</f>
        <v>1.0190629381937326</v>
      </c>
    </row>
    <row r="3" spans="1:10" ht="18" x14ac:dyDescent="0.35">
      <c r="A3" s="2">
        <f>A2+1</f>
        <v>1</v>
      </c>
      <c r="B3" s="1" t="s">
        <v>11</v>
      </c>
      <c r="C3" s="4">
        <v>1.285683453915851</v>
      </c>
      <c r="D3" s="5"/>
      <c r="E3" s="4"/>
      <c r="G3" s="1" t="s">
        <v>11</v>
      </c>
      <c r="H3" s="4">
        <v>1.1491449273765</v>
      </c>
      <c r="I3" s="5"/>
      <c r="J3" s="4"/>
    </row>
    <row r="4" spans="1:10" ht="18" x14ac:dyDescent="0.35">
      <c r="A4" s="2">
        <f t="shared" ref="A4" si="0">A3+1</f>
        <v>2</v>
      </c>
      <c r="B4" s="1" t="s">
        <v>10</v>
      </c>
      <c r="C4" s="4">
        <v>0.70255948692012093</v>
      </c>
      <c r="D4" s="5">
        <f>1-D2</f>
        <v>0.72461454974795436</v>
      </c>
      <c r="E4" s="4">
        <f>D4*C4</f>
        <v>0.50908482628577723</v>
      </c>
      <c r="G4" s="1" t="s">
        <v>10</v>
      </c>
      <c r="H4" s="7">
        <v>0.21045218805686819</v>
      </c>
      <c r="I4" s="5">
        <f>1-I2</f>
        <v>0.61741844076791352</v>
      </c>
      <c r="J4" s="4">
        <f>I4*H4</f>
        <v>0.12993706180626727</v>
      </c>
    </row>
    <row r="5" spans="1:10" x14ac:dyDescent="0.25">
      <c r="E5" s="6">
        <f>SUM(E2+E4)</f>
        <v>1.286</v>
      </c>
      <c r="J5" s="6">
        <f>SUM(J2+J4)</f>
        <v>1.1489999999999998</v>
      </c>
    </row>
  </sheetData>
  <conditionalFormatting sqref="C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C95A-70AC-4F39-A762-7D8BB1440971}">
  <dimension ref="A1:O6"/>
  <sheetViews>
    <sheetView zoomScale="115" zoomScaleNormal="115" workbookViewId="0">
      <selection activeCell="J15" sqref="J15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17.5703125" bestFit="1" customWidth="1"/>
    <col min="4" max="4" width="9.5703125" bestFit="1" customWidth="1"/>
    <col min="5" max="5" width="13.140625" bestFit="1" customWidth="1"/>
    <col min="6" max="6" width="20.570312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  <col min="14" max="14" width="11.42578125" bestFit="1" customWidth="1"/>
  </cols>
  <sheetData>
    <row r="1" spans="1:15" x14ac:dyDescent="0.25">
      <c r="B1" s="1" t="s">
        <v>3</v>
      </c>
      <c r="C1" s="1" t="s">
        <v>22</v>
      </c>
      <c r="D1" s="1" t="s">
        <v>18</v>
      </c>
      <c r="E1" s="1" t="s">
        <v>19</v>
      </c>
      <c r="F1" s="1" t="s">
        <v>20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10" t="s">
        <v>12</v>
      </c>
      <c r="O1" s="3" t="s">
        <v>17</v>
      </c>
    </row>
    <row r="2" spans="1:15" x14ac:dyDescent="0.25">
      <c r="A2" s="2">
        <v>0</v>
      </c>
      <c r="B2" s="1" t="s">
        <v>21</v>
      </c>
      <c r="C2" s="4">
        <v>4.5978906548683103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f>SUM(C2:J2)</f>
        <v>4.5978906548683103</v>
      </c>
      <c r="L2" s="4">
        <f>K2-2*O2</f>
        <v>2.5535251294712804</v>
      </c>
      <c r="M2" s="4">
        <f>K2+2*O2</f>
        <v>6.6422561802653401</v>
      </c>
      <c r="N2" s="11">
        <v>4.4701917929958501</v>
      </c>
      <c r="O2" s="4">
        <v>1.0221827626985149</v>
      </c>
    </row>
    <row r="3" spans="1:15" ht="18" x14ac:dyDescent="0.35">
      <c r="A3" s="2">
        <f>A2+1</f>
        <v>1</v>
      </c>
      <c r="B3" s="1" t="s">
        <v>10</v>
      </c>
      <c r="C3" s="4">
        <v>0</v>
      </c>
      <c r="D3" s="4">
        <v>1.9204799638853829</v>
      </c>
      <c r="E3" s="4">
        <v>1.3409125084288549</v>
      </c>
      <c r="F3" s="4">
        <v>0</v>
      </c>
      <c r="G3" s="4">
        <v>0.9123279562770259</v>
      </c>
      <c r="H3" s="4">
        <v>3.6747694078763111E-4</v>
      </c>
      <c r="I3" s="4">
        <v>0</v>
      </c>
      <c r="J3" s="4">
        <v>0.13649996732866221</v>
      </c>
      <c r="K3" s="4">
        <f>SUM(C3:J3)</f>
        <v>4.3105878728607134</v>
      </c>
      <c r="L3" s="4">
        <f>K3-2*O3</f>
        <v>3.3139311707373849</v>
      </c>
      <c r="M3" s="4">
        <f>K3+2*O3</f>
        <v>5.3072445749840425</v>
      </c>
      <c r="N3" s="11">
        <v>3.9311716518779778</v>
      </c>
      <c r="O3" s="4">
        <v>0.49832835106166434</v>
      </c>
    </row>
    <row r="4" spans="1:15" ht="18" x14ac:dyDescent="0.35">
      <c r="A4" s="2">
        <f>A3+1</f>
        <v>2</v>
      </c>
      <c r="B4" s="1" t="s">
        <v>11</v>
      </c>
      <c r="C4" s="4">
        <v>0</v>
      </c>
      <c r="D4" s="4">
        <v>2.1376784824322268</v>
      </c>
      <c r="E4" s="4">
        <v>0</v>
      </c>
      <c r="F4" s="4">
        <v>0.61584237442569334</v>
      </c>
      <c r="G4" s="4">
        <v>0.49408687530746859</v>
      </c>
      <c r="H4" s="4">
        <v>1.8569584305448211E-3</v>
      </c>
      <c r="I4" s="4">
        <v>0</v>
      </c>
      <c r="J4" s="4">
        <v>1.153453095262118E-4</v>
      </c>
      <c r="K4" s="4">
        <f>SUM(C4:J4)</f>
        <v>3.2495800359054599</v>
      </c>
      <c r="L4" s="4">
        <f>K4-2*O4</f>
        <v>2.3295545342349353</v>
      </c>
      <c r="M4" s="4">
        <f>K4+2*O4</f>
        <v>4.1696055375759844</v>
      </c>
      <c r="N4" s="4">
        <v>2.8584819043817089</v>
      </c>
      <c r="O4" s="4">
        <v>0.46001275083526216</v>
      </c>
    </row>
    <row r="5" spans="1:15" ht="18" x14ac:dyDescent="0.35">
      <c r="A5" s="2">
        <f>A4+1</f>
        <v>3</v>
      </c>
      <c r="B5" s="1" t="s">
        <v>10</v>
      </c>
      <c r="C5" s="4">
        <f>C3</f>
        <v>0</v>
      </c>
      <c r="D5" s="4">
        <f>D3</f>
        <v>1.9204799638853829</v>
      </c>
      <c r="E5" s="4">
        <v>0.33392653530063571</v>
      </c>
      <c r="F5" s="4">
        <f>F3</f>
        <v>0</v>
      </c>
      <c r="G5" s="4">
        <f>G3</f>
        <v>0.9123279562770259</v>
      </c>
      <c r="H5" s="4">
        <f>H3</f>
        <v>3.6747694078763111E-4</v>
      </c>
      <c r="I5" s="4">
        <f>I3</f>
        <v>0</v>
      </c>
      <c r="J5" s="4">
        <f>J3</f>
        <v>0.13649996732866221</v>
      </c>
      <c r="K5" s="4">
        <f>SUM(C5:J5)</f>
        <v>3.3036018997324943</v>
      </c>
      <c r="L5" s="4">
        <f>K5-2*O5</f>
        <v>2.4029213493690715</v>
      </c>
      <c r="M5" s="4">
        <f>K5+2*O5</f>
        <v>4.2042824500959171</v>
      </c>
      <c r="N5" s="11">
        <v>2.7651672342330831</v>
      </c>
      <c r="O5" s="4">
        <v>0.45034027518171138</v>
      </c>
    </row>
    <row r="6" spans="1:15" ht="18" x14ac:dyDescent="0.35">
      <c r="A6" s="2">
        <f>A5+1</f>
        <v>4</v>
      </c>
      <c r="B6" s="1" t="s">
        <v>11</v>
      </c>
      <c r="C6" s="4">
        <f>C4</f>
        <v>0</v>
      </c>
      <c r="D6" s="4">
        <f>D4</f>
        <v>2.1376784824322268</v>
      </c>
      <c r="E6" s="4">
        <f>E4</f>
        <v>0</v>
      </c>
      <c r="F6" s="4">
        <v>0.23576447452953811</v>
      </c>
      <c r="G6" s="4">
        <f>G4</f>
        <v>0.49408687530746859</v>
      </c>
      <c r="H6" s="4">
        <f>H4</f>
        <v>1.8569584305448211E-3</v>
      </c>
      <c r="I6" s="4">
        <f>I4</f>
        <v>0</v>
      </c>
      <c r="J6" s="4">
        <f>J4</f>
        <v>1.153453095262118E-4</v>
      </c>
      <c r="K6" s="4">
        <f>SUM(C6:J6)</f>
        <v>2.8695021360093045</v>
      </c>
      <c r="L6" s="4">
        <f>K6-2*O6</f>
        <v>1.9519486846748575</v>
      </c>
      <c r="M6" s="4">
        <f>K6+2*O6</f>
        <v>3.7870555873437515</v>
      </c>
      <c r="N6" s="11">
        <v>2.4855967032186759</v>
      </c>
      <c r="O6" s="4">
        <v>0.45877672566722355</v>
      </c>
    </row>
  </sheetData>
  <conditionalFormatting sqref="K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M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M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M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M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4028-3522-4FAA-99F9-57399465E007}">
  <dimension ref="A1:L5"/>
  <sheetViews>
    <sheetView zoomScaleNormal="100" workbookViewId="0">
      <selection activeCell="L11" sqref="L11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9.5703125" bestFit="1" customWidth="1"/>
    <col min="4" max="4" width="9.7109375" bestFit="1" customWidth="1"/>
    <col min="5" max="5" width="7.85546875" bestFit="1" customWidth="1"/>
    <col min="6" max="6" width="7.7109375" bestFit="1" customWidth="1"/>
    <col min="7" max="7" width="6.7109375" bestFit="1" customWidth="1"/>
    <col min="8" max="8" width="15.7109375" bestFit="1" customWidth="1"/>
    <col min="9" max="9" width="6.140625" bestFit="1" customWidth="1"/>
    <col min="12" max="12" width="12" bestFit="1" customWidth="1"/>
  </cols>
  <sheetData>
    <row r="1" spans="1:12" x14ac:dyDescent="0.25">
      <c r="B1" s="1" t="s">
        <v>3</v>
      </c>
      <c r="C1" s="1" t="s">
        <v>5</v>
      </c>
      <c r="D1" s="1" t="s">
        <v>0</v>
      </c>
      <c r="E1" s="1" t="s">
        <v>8</v>
      </c>
      <c r="F1" s="1" t="s">
        <v>9</v>
      </c>
      <c r="G1" s="1" t="s">
        <v>4</v>
      </c>
      <c r="H1" s="1" t="s">
        <v>2</v>
      </c>
      <c r="I1" s="3" t="s">
        <v>1</v>
      </c>
      <c r="J1" s="3" t="s">
        <v>15</v>
      </c>
      <c r="K1" s="3" t="s">
        <v>16</v>
      </c>
      <c r="L1" s="4" t="s">
        <v>12</v>
      </c>
    </row>
    <row r="2" spans="1:12" x14ac:dyDescent="0.25">
      <c r="A2" s="2">
        <v>0</v>
      </c>
      <c r="B2" s="1" t="s">
        <v>13</v>
      </c>
      <c r="C2" s="4">
        <v>0.5959429191976231</v>
      </c>
      <c r="D2" s="4">
        <v>4.7000672476377415E-3</v>
      </c>
      <c r="E2" s="4">
        <v>0</v>
      </c>
      <c r="F2" s="4">
        <v>2.3076491450649021E-3</v>
      </c>
      <c r="G2" s="4">
        <v>3.2696429096004974E-2</v>
      </c>
      <c r="H2" s="4">
        <v>0</v>
      </c>
      <c r="I2" s="4">
        <f>SUM(C2:H2)</f>
        <v>0.6356470646863307</v>
      </c>
      <c r="J2" s="1">
        <v>0.58699999999999997</v>
      </c>
      <c r="K2" s="1">
        <v>0.68600000000000005</v>
      </c>
      <c r="L2" s="4">
        <v>0.79500000000000004</v>
      </c>
    </row>
    <row r="3" spans="1:12" x14ac:dyDescent="0.25">
      <c r="A3" s="2">
        <f>A2+1</f>
        <v>1</v>
      </c>
      <c r="B3" s="1" t="s">
        <v>14</v>
      </c>
      <c r="C3" s="4">
        <v>0.65127768705287892</v>
      </c>
      <c r="D3" s="4">
        <v>5.1168474233421232E-2</v>
      </c>
      <c r="E3" s="4">
        <v>1.9080895954422348E-3</v>
      </c>
      <c r="F3" s="4">
        <v>6.6061416810474644E-3</v>
      </c>
      <c r="G3" s="4">
        <v>0.13951302177365515</v>
      </c>
      <c r="H3" s="4">
        <v>0</v>
      </c>
      <c r="I3" s="4">
        <f>SUM(C3:H3)</f>
        <v>0.85047341433644497</v>
      </c>
      <c r="J3" s="1">
        <v>0.79700000000000004</v>
      </c>
      <c r="K3" s="1">
        <v>0.90500000000000003</v>
      </c>
      <c r="L3" s="4">
        <v>1.0249999999999999</v>
      </c>
    </row>
    <row r="4" spans="1:12" x14ac:dyDescent="0.25">
      <c r="A4" s="2">
        <f t="shared" ref="A4:A5" si="0">A3+1</f>
        <v>2</v>
      </c>
      <c r="B4" s="1" t="s">
        <v>13</v>
      </c>
      <c r="C4" s="4">
        <v>1.1179750688871131</v>
      </c>
      <c r="D4" s="4">
        <f>D2</f>
        <v>4.7000672476377415E-3</v>
      </c>
      <c r="E4" s="4">
        <f>E2</f>
        <v>0</v>
      </c>
      <c r="F4" s="4">
        <f>F2</f>
        <v>2.3076491450649021E-3</v>
      </c>
      <c r="G4" s="4">
        <f>G2</f>
        <v>3.2696429096004974E-2</v>
      </c>
      <c r="H4" s="4">
        <f>H2</f>
        <v>0</v>
      </c>
      <c r="I4" s="4">
        <f>SUM(C4:H4)</f>
        <v>1.1576792143758208</v>
      </c>
      <c r="J4" s="1">
        <v>0.879</v>
      </c>
      <c r="K4" s="1">
        <v>1.4650000000000001</v>
      </c>
      <c r="L4" s="4">
        <v>0.79700000000000004</v>
      </c>
    </row>
    <row r="5" spans="1:12" x14ac:dyDescent="0.25">
      <c r="A5" s="2">
        <f t="shared" si="0"/>
        <v>3</v>
      </c>
      <c r="B5" s="1" t="s">
        <v>14</v>
      </c>
      <c r="C5" s="4">
        <v>1.2217818076065263</v>
      </c>
      <c r="D5" s="4">
        <f>D3</f>
        <v>5.1168474233421232E-2</v>
      </c>
      <c r="E5" s="4">
        <f>E3</f>
        <v>1.9080895954422348E-3</v>
      </c>
      <c r="F5" s="4">
        <f>F3</f>
        <v>6.6061416810474644E-3</v>
      </c>
      <c r="G5" s="4">
        <f>G3</f>
        <v>0.13951302177365515</v>
      </c>
      <c r="H5" s="4">
        <v>0</v>
      </c>
      <c r="I5" s="4">
        <f>SUM(C5:H5)</f>
        <v>1.4209775348900924</v>
      </c>
      <c r="J5" s="1">
        <v>1.1160000000000001</v>
      </c>
      <c r="K5" s="1">
        <v>1.7569999999999999</v>
      </c>
      <c r="L5" s="4">
        <v>1.0269999999999999</v>
      </c>
    </row>
  </sheetData>
  <conditionalFormatting sqref="I3:K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733B-5606-4623-ABA0-C76C38F9D7AD}">
  <dimension ref="A1:N5"/>
  <sheetViews>
    <sheetView zoomScale="115" zoomScaleNormal="115" workbookViewId="0">
      <selection activeCell="M19" sqref="M19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  <col min="14" max="14" width="12" bestFit="1" customWidth="1"/>
  </cols>
  <sheetData>
    <row r="1" spans="1:14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4" t="s">
        <v>12</v>
      </c>
    </row>
    <row r="2" spans="1:14" ht="18" x14ac:dyDescent="0.35">
      <c r="A2" s="2">
        <v>0</v>
      </c>
      <c r="B2" s="1" t="s">
        <v>10</v>
      </c>
      <c r="C2" s="4">
        <v>0.5959429191976231</v>
      </c>
      <c r="D2" s="4">
        <v>0</v>
      </c>
      <c r="E2" s="4">
        <v>0</v>
      </c>
      <c r="F2" s="4">
        <v>4.7000672476377415E-3</v>
      </c>
      <c r="G2" s="4">
        <v>0</v>
      </c>
      <c r="H2" s="4">
        <v>2.3076491450649021E-3</v>
      </c>
      <c r="I2" s="4">
        <v>3.2696429096004974E-2</v>
      </c>
      <c r="J2" s="4">
        <v>0</v>
      </c>
      <c r="K2" s="4">
        <f>SUM(C2:J2)</f>
        <v>0.6356470646863307</v>
      </c>
      <c r="L2" s="1">
        <v>0.58699999999999997</v>
      </c>
      <c r="M2" s="1">
        <v>0.68600000000000005</v>
      </c>
      <c r="N2" s="4">
        <v>0.79500000000000004</v>
      </c>
    </row>
    <row r="3" spans="1:14" ht="18" x14ac:dyDescent="0.35">
      <c r="A3" s="2">
        <f>A2+1</f>
        <v>1</v>
      </c>
      <c r="B3" s="1" t="s">
        <v>11</v>
      </c>
      <c r="C3" s="4">
        <v>0</v>
      </c>
      <c r="D3" s="4">
        <v>0.1216075914903002</v>
      </c>
      <c r="E3" s="4">
        <v>1.4572960426533341</v>
      </c>
      <c r="F3" s="4">
        <v>8.2759901362157908E-3</v>
      </c>
      <c r="G3" s="4">
        <v>1.3848836761850409E-2</v>
      </c>
      <c r="H3" s="4">
        <v>1.4293923222371456E-3</v>
      </c>
      <c r="I3" s="4">
        <v>3.6481025269424254E-2</v>
      </c>
      <c r="J3" s="4">
        <v>0</v>
      </c>
      <c r="K3" s="4">
        <f>SUM(C3:J3)</f>
        <v>1.6389388786333619</v>
      </c>
      <c r="L3" s="1">
        <v>1.617</v>
      </c>
      <c r="M3" s="1">
        <v>1.726</v>
      </c>
      <c r="N3" s="4">
        <v>1.6715562972717923</v>
      </c>
    </row>
    <row r="4" spans="1:14" ht="18" x14ac:dyDescent="0.35">
      <c r="A4" s="2">
        <f t="shared" ref="A4:A5" si="0">A3+1</f>
        <v>2</v>
      </c>
      <c r="B4" s="1" t="s">
        <v>10</v>
      </c>
      <c r="C4" s="4">
        <v>1.1179750688871131</v>
      </c>
      <c r="D4" s="4">
        <f>D2</f>
        <v>0</v>
      </c>
      <c r="E4" s="4">
        <f>E2</f>
        <v>0</v>
      </c>
      <c r="F4" s="4">
        <v>4.7000672476377415E-3</v>
      </c>
      <c r="G4" s="4">
        <v>0</v>
      </c>
      <c r="H4" s="4">
        <v>2.3076491450649021E-3</v>
      </c>
      <c r="I4" s="4">
        <v>3.2696429096004974E-2</v>
      </c>
      <c r="J4" s="4">
        <v>0</v>
      </c>
      <c r="K4" s="4">
        <f>SUM(C4:J4)</f>
        <v>1.1576792143758208</v>
      </c>
      <c r="L4" s="1">
        <v>0.879</v>
      </c>
      <c r="M4" s="1">
        <v>1.4650000000000001</v>
      </c>
      <c r="N4" s="4">
        <v>0.79700000000000004</v>
      </c>
    </row>
    <row r="5" spans="1:14" ht="18" x14ac:dyDescent="0.35">
      <c r="A5" s="2">
        <f t="shared" si="0"/>
        <v>3</v>
      </c>
      <c r="B5" s="1" t="s">
        <v>11</v>
      </c>
      <c r="C5" s="4">
        <f>C3</f>
        <v>0</v>
      </c>
      <c r="D5" s="4">
        <v>0.40896939591948012</v>
      </c>
      <c r="E5" s="4">
        <f t="shared" ref="E5:J5" si="1">E3</f>
        <v>1.4572960426533341</v>
      </c>
      <c r="F5" s="4">
        <f t="shared" si="1"/>
        <v>8.2759901362157908E-3</v>
      </c>
      <c r="G5" s="4">
        <f t="shared" si="1"/>
        <v>1.3848836761850409E-2</v>
      </c>
      <c r="H5" s="4">
        <f t="shared" si="1"/>
        <v>1.4293923222371456E-3</v>
      </c>
      <c r="I5" s="4">
        <f t="shared" si="1"/>
        <v>3.6481025269424254E-2</v>
      </c>
      <c r="J5" s="4">
        <f t="shared" si="1"/>
        <v>0</v>
      </c>
      <c r="K5" s="4">
        <f>SUM(C5:J5)</f>
        <v>1.9263006830625418</v>
      </c>
      <c r="L5" s="1">
        <v>1.859</v>
      </c>
      <c r="M5" s="1">
        <v>1.9970000000000001</v>
      </c>
      <c r="N5" s="4">
        <v>1.7478293363730424</v>
      </c>
    </row>
  </sheetData>
  <conditionalFormatting sqref="K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BAE3-24F9-4571-9515-7801E3082493}">
  <dimension ref="A1:N3"/>
  <sheetViews>
    <sheetView tabSelected="1" zoomScaleNormal="100" workbookViewId="0">
      <selection activeCell="M11" sqref="M11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  <col min="14" max="14" width="12" bestFit="1" customWidth="1"/>
  </cols>
  <sheetData>
    <row r="1" spans="1:14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4" t="s">
        <v>12</v>
      </c>
    </row>
    <row r="2" spans="1:14" ht="18" x14ac:dyDescent="0.35">
      <c r="A2" s="2">
        <v>0</v>
      </c>
      <c r="B2" s="1" t="s">
        <v>10</v>
      </c>
      <c r="C2" s="4">
        <f>economics_N_vs_H!C2*climate_change_blend!$D$2+economics_N_vs_H!C4*climate_change_blend!$D$4</f>
        <v>0.97421501029882962</v>
      </c>
      <c r="D2" s="4">
        <f>economics_N_vs_H!D2*climate_change_blend!$D$2+economics_N_vs_H!D4*climate_change_blend!$D$4</f>
        <v>0</v>
      </c>
      <c r="E2" s="4">
        <f>economics_N_vs_H!E2*climate_change_blend!$D$2+economics_N_vs_H!E4*climate_change_blend!$D$4</f>
        <v>0</v>
      </c>
      <c r="F2" s="4">
        <f>economics_N_vs_H!F2*climate_change_blend!$D$2+economics_N_vs_H!F4*climate_change_blend!$D$4</f>
        <v>4.7000672476377415E-3</v>
      </c>
      <c r="G2" s="4">
        <f>economics_N_vs_H!G2*climate_change_blend!$D$2+economics_N_vs_H!G4*climate_change_blend!$D$4</f>
        <v>0</v>
      </c>
      <c r="H2" s="4">
        <f>economics_N_vs_H!H2*climate_change_blend!$D$2+economics_N_vs_H!H4*climate_change_blend!$D$4</f>
        <v>2.3076491450649021E-3</v>
      </c>
      <c r="I2" s="4">
        <f>economics_N_vs_H!I2*climate_change_blend!$D$2+economics_N_vs_H!I4*climate_change_blend!$D$4</f>
        <v>3.2696429096004974E-2</v>
      </c>
      <c r="J2" s="4">
        <f>economics_N_vs_H!J2*climate_change_blend!$D$2+economics_N_vs_H!J4*climate_change_blend!$D$4</f>
        <v>0</v>
      </c>
      <c r="K2" s="4">
        <f>SUM(C2:J2)</f>
        <v>1.0139191557875371</v>
      </c>
      <c r="L2" s="4">
        <f>economics_N_vs_H!L2*climate_change_blend!$D$2+economics_N_vs_H!L4*climate_change_blend!$D$4</f>
        <v>0.79858744852640262</v>
      </c>
      <c r="M2" s="4">
        <f>economics_N_vs_H!M2*climate_change_blend!$D$2+economics_N_vs_H!M4*climate_change_blend!$D$4</f>
        <v>1.2504747342536564</v>
      </c>
      <c r="N2" s="4">
        <f>economics_N_vs_H!N2*climate_change_blend!I2+economics_N_vs_H!N4*climate_change_blend!I4</f>
        <v>0.79623483688153573</v>
      </c>
    </row>
    <row r="3" spans="1:14" ht="18" x14ac:dyDescent="0.35">
      <c r="A3" s="2">
        <f>A2+1</f>
        <v>1</v>
      </c>
      <c r="B3" s="1" t="s">
        <v>11</v>
      </c>
      <c r="C3" s="4">
        <v>0</v>
      </c>
      <c r="D3" s="4">
        <v>0.1216075914903002</v>
      </c>
      <c r="E3" s="4">
        <v>1.4572960426533341</v>
      </c>
      <c r="F3" s="4">
        <v>8.2759901362157908E-3</v>
      </c>
      <c r="G3" s="4">
        <v>1.3848836761850409E-2</v>
      </c>
      <c r="H3" s="4">
        <v>1.4293923222371456E-3</v>
      </c>
      <c r="I3" s="4">
        <v>3.6481025269424254E-2</v>
      </c>
      <c r="J3" s="4">
        <v>0</v>
      </c>
      <c r="K3" s="4">
        <f>SUM(C3:J3)</f>
        <v>1.6389388786333619</v>
      </c>
      <c r="L3" s="1">
        <v>1.617</v>
      </c>
      <c r="M3" s="1">
        <v>1.726</v>
      </c>
      <c r="N3" s="4">
        <v>1.6715562972717923</v>
      </c>
    </row>
  </sheetData>
  <conditionalFormatting sqref="K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6791-F612-4B05-9F29-C7FAE3DBF4AF}">
  <dimension ref="A1:N6"/>
  <sheetViews>
    <sheetView zoomScale="130" zoomScaleNormal="130" workbookViewId="0">
      <selection activeCell="E15" sqref="E15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17.5703125" bestFit="1" customWidth="1"/>
    <col min="4" max="4" width="9.5703125" bestFit="1" customWidth="1"/>
    <col min="5" max="5" width="13.140625" bestFit="1" customWidth="1"/>
    <col min="6" max="6" width="20.570312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  <col min="14" max="14" width="11.42578125" bestFit="1" customWidth="1"/>
  </cols>
  <sheetData>
    <row r="1" spans="1:14" x14ac:dyDescent="0.25">
      <c r="B1" s="1" t="s">
        <v>3</v>
      </c>
      <c r="C1" s="1" t="s">
        <v>22</v>
      </c>
      <c r="D1" s="1" t="s">
        <v>18</v>
      </c>
      <c r="E1" s="1" t="s">
        <v>19</v>
      </c>
      <c r="F1" s="1" t="s">
        <v>20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15</v>
      </c>
      <c r="M1" s="3" t="s">
        <v>16</v>
      </c>
      <c r="N1" s="10" t="s">
        <v>12</v>
      </c>
    </row>
    <row r="2" spans="1:14" x14ac:dyDescent="0.25">
      <c r="A2" s="2">
        <v>0</v>
      </c>
      <c r="B2" s="1" t="s">
        <v>21</v>
      </c>
      <c r="C2" s="4">
        <v>1.2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f>SUM(C2:J2)</f>
        <v>1.2</v>
      </c>
      <c r="L2" s="4">
        <v>0.8</v>
      </c>
      <c r="M2" s="4">
        <v>1.7</v>
      </c>
      <c r="N2" s="11">
        <f>K2*596.2/550.8*596.2/550.8*596.2/550.8</f>
        <v>1.5218623269028277</v>
      </c>
    </row>
    <row r="3" spans="1:14" ht="18" x14ac:dyDescent="0.35">
      <c r="A3" s="2">
        <f>A2+1</f>
        <v>1</v>
      </c>
      <c r="B3" s="1" t="s">
        <v>10</v>
      </c>
      <c r="C3" s="4">
        <v>0</v>
      </c>
      <c r="D3" s="4">
        <v>0.66279646911249523</v>
      </c>
      <c r="E3" s="4">
        <v>0.30214844969846022</v>
      </c>
      <c r="F3" s="4">
        <v>0</v>
      </c>
      <c r="G3" s="4">
        <v>7.8184181448916604E-2</v>
      </c>
      <c r="H3" s="4">
        <v>4.9972870800841899E-4</v>
      </c>
      <c r="I3" s="4">
        <v>4.7294145585762677E-2</v>
      </c>
      <c r="J3" s="4">
        <v>0</v>
      </c>
      <c r="K3" s="4">
        <f>SUM(C3:J3)</f>
        <v>1.0909229745536433</v>
      </c>
      <c r="L3" s="4">
        <v>1.0680000000000001</v>
      </c>
      <c r="M3" s="4">
        <v>1.2070000000000001</v>
      </c>
      <c r="N3" s="11">
        <v>1.167</v>
      </c>
    </row>
    <row r="4" spans="1:14" ht="18" x14ac:dyDescent="0.35">
      <c r="A4" s="2">
        <f>A3+1</f>
        <v>2</v>
      </c>
      <c r="B4" s="1" t="s">
        <v>11</v>
      </c>
      <c r="C4" s="4">
        <v>0</v>
      </c>
      <c r="D4" s="4">
        <v>0.73775037421411871</v>
      </c>
      <c r="E4" s="4">
        <v>0</v>
      </c>
      <c r="F4" s="4">
        <v>0.78507417812944269</v>
      </c>
      <c r="G4" s="4">
        <v>4.2341987290915609E-2</v>
      </c>
      <c r="H4" s="4">
        <v>2.525261666604656E-3</v>
      </c>
      <c r="I4" s="4">
        <v>6.5735640553670732E-2</v>
      </c>
      <c r="J4" s="4">
        <v>0</v>
      </c>
      <c r="K4" s="4">
        <f>SUM(C4:J4)</f>
        <v>1.6334274418547525</v>
      </c>
      <c r="L4" s="4">
        <v>1.623</v>
      </c>
      <c r="M4" s="4">
        <v>1.7390000000000001</v>
      </c>
      <c r="N4" s="1">
        <v>1.649</v>
      </c>
    </row>
    <row r="5" spans="1:14" ht="18" x14ac:dyDescent="0.35">
      <c r="A5" s="2">
        <f>A4+1</f>
        <v>3</v>
      </c>
      <c r="B5" s="1" t="s">
        <v>10</v>
      </c>
      <c r="C5" s="4">
        <v>0</v>
      </c>
      <c r="D5" s="4">
        <f>D3</f>
        <v>0.66279646911249523</v>
      </c>
      <c r="E5" s="4">
        <v>0.55029119035481544</v>
      </c>
      <c r="F5" s="4">
        <v>0</v>
      </c>
      <c r="G5" s="4">
        <f t="shared" ref="G5:J6" si="0">G3</f>
        <v>7.8184181448916604E-2</v>
      </c>
      <c r="H5" s="4">
        <f t="shared" si="0"/>
        <v>4.9972870800841899E-4</v>
      </c>
      <c r="I5" s="4">
        <f t="shared" si="0"/>
        <v>4.7294145585762677E-2</v>
      </c>
      <c r="J5" s="4">
        <f t="shared" si="0"/>
        <v>0</v>
      </c>
      <c r="K5" s="4">
        <f>SUM(C5:J5)</f>
        <v>1.3390657152099985</v>
      </c>
      <c r="L5" s="4">
        <v>1.115</v>
      </c>
      <c r="M5" s="4">
        <v>1.4850000000000001</v>
      </c>
      <c r="N5" s="11">
        <v>1.1679999999999999</v>
      </c>
    </row>
    <row r="6" spans="1:14" ht="18" x14ac:dyDescent="0.35">
      <c r="A6" s="2">
        <f>A5+1</f>
        <v>4</v>
      </c>
      <c r="B6" s="1" t="s">
        <v>11</v>
      </c>
      <c r="C6" s="4">
        <v>0</v>
      </c>
      <c r="D6" s="4">
        <f>D4</f>
        <v>0.73775037421411871</v>
      </c>
      <c r="E6" s="4">
        <v>0</v>
      </c>
      <c r="F6" s="4">
        <v>0.92272441962359164</v>
      </c>
      <c r="G6" s="4">
        <f t="shared" si="0"/>
        <v>4.2341987290915609E-2</v>
      </c>
      <c r="H6" s="4">
        <f t="shared" si="0"/>
        <v>2.525261666604656E-3</v>
      </c>
      <c r="I6" s="4">
        <f t="shared" si="0"/>
        <v>6.5735640553670732E-2</v>
      </c>
      <c r="J6" s="4">
        <f t="shared" si="0"/>
        <v>0</v>
      </c>
      <c r="K6" s="4">
        <f>SUM(C6:J6)</f>
        <v>1.7710776833489015</v>
      </c>
      <c r="L6" s="4">
        <v>1.675</v>
      </c>
      <c r="M6" s="4">
        <v>1.8049999999999999</v>
      </c>
      <c r="N6" s="11">
        <v>1.6859999999999999</v>
      </c>
    </row>
  </sheetData>
  <conditionalFormatting sqref="K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climate_change_1-step_vs_5-step</vt:lpstr>
      <vt:lpstr>climate_change_N_vs_H</vt:lpstr>
      <vt:lpstr>climate_change_blend</vt:lpstr>
      <vt:lpstr>climate_change_phenol</vt:lpstr>
      <vt:lpstr>economics_1-step_vs_5-step</vt:lpstr>
      <vt:lpstr>economics_N_vs_H</vt:lpstr>
      <vt:lpstr>economics_blend</vt:lpstr>
      <vt:lpstr>economics_phenol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2025-06-19T16:52:27Z</dcterms:modified>
</cp:coreProperties>
</file>