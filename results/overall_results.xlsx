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3F188534-9C7F-4683-8B77-E1610DC18978}" xr6:coauthVersionLast="36" xr6:coauthVersionMax="47" xr10:uidLastSave="{00000000-0000-0000-0000-000000000000}"/>
  <bookViews>
    <workbookView xWindow="0" yWindow="495" windowWidth="14370" windowHeight="8715" activeTab="3" xr2:uid="{00000000-000D-0000-FFFF-FFFF00000000}"/>
  </bookViews>
  <sheets>
    <sheet name="climate_change_1-step_vs_5-step" sheetId="15" r:id="rId1"/>
    <sheet name="climate_change_N_vs_H" sheetId="19" r:id="rId2"/>
    <sheet name="blend" sheetId="25" r:id="rId3"/>
    <sheet name="economics_1-step_vs_5-step" sheetId="17" r:id="rId4"/>
    <sheet name="economics_N_vs_H" sheetId="20" r:id="rId5"/>
    <sheet name="economics_blend" sheetId="2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5" l="1"/>
  <c r="M5" i="19" l="1"/>
  <c r="M4" i="19"/>
  <c r="M3" i="19"/>
  <c r="M2" i="19"/>
  <c r="L5" i="19"/>
  <c r="L4" i="19"/>
  <c r="L3" i="19"/>
  <c r="L2" i="19"/>
  <c r="K4" i="15"/>
  <c r="K2" i="15"/>
  <c r="J4" i="15"/>
  <c r="J2" i="15"/>
  <c r="N2" i="26" l="1"/>
  <c r="I4" i="25"/>
  <c r="J4" i="25" s="1"/>
  <c r="J2" i="25"/>
  <c r="M2" i="26"/>
  <c r="L2" i="26"/>
  <c r="K2" i="26"/>
  <c r="J2" i="26"/>
  <c r="I2" i="26"/>
  <c r="H2" i="26"/>
  <c r="G2" i="26"/>
  <c r="F2" i="26"/>
  <c r="E2" i="26"/>
  <c r="D2" i="26"/>
  <c r="C2" i="26"/>
  <c r="K3" i="26"/>
  <c r="A3" i="26"/>
  <c r="E2" i="25"/>
  <c r="D4" i="25"/>
  <c r="E4" i="25" s="1"/>
  <c r="A3" i="25"/>
  <c r="A4" i="25" s="1"/>
  <c r="E5" i="20"/>
  <c r="K3" i="20"/>
  <c r="J5" i="20"/>
  <c r="I5" i="20"/>
  <c r="H5" i="20"/>
  <c r="G5" i="20"/>
  <c r="F5" i="20"/>
  <c r="C5" i="20"/>
  <c r="J5" i="25" l="1"/>
  <c r="E5" i="25"/>
  <c r="K5" i="20"/>
  <c r="K2" i="20" l="1"/>
  <c r="E4" i="20"/>
  <c r="D4" i="20"/>
  <c r="K4" i="20" s="1"/>
  <c r="H4" i="17"/>
  <c r="G4" i="17"/>
  <c r="F4" i="17"/>
  <c r="E4" i="17"/>
  <c r="D4" i="17"/>
  <c r="G5" i="17" l="1"/>
  <c r="I4" i="17"/>
  <c r="I3" i="17"/>
  <c r="I2" i="17"/>
  <c r="F5" i="17"/>
  <c r="E5" i="17"/>
  <c r="D5" i="17"/>
  <c r="I5" i="17" l="1"/>
  <c r="J5" i="19"/>
  <c r="I5" i="19"/>
  <c r="H5" i="19"/>
  <c r="G5" i="19"/>
  <c r="F5" i="19"/>
  <c r="E5" i="19"/>
  <c r="J4" i="19"/>
  <c r="I4" i="19"/>
  <c r="H4" i="19"/>
  <c r="G4" i="19"/>
  <c r="F4" i="19"/>
  <c r="E4" i="19"/>
  <c r="D4" i="19"/>
  <c r="K2" i="19"/>
  <c r="K3" i="19"/>
  <c r="H4" i="15"/>
  <c r="G4" i="15"/>
  <c r="F4" i="15"/>
  <c r="E4" i="15"/>
  <c r="D4" i="15"/>
  <c r="H5" i="15"/>
  <c r="G5" i="15"/>
  <c r="E5" i="15"/>
  <c r="D5" i="15"/>
  <c r="K5" i="19" l="1"/>
  <c r="K4" i="19"/>
  <c r="A3" i="20" l="1"/>
  <c r="A4" i="20" s="1"/>
  <c r="A5" i="20" s="1"/>
  <c r="A3" i="19"/>
  <c r="A4" i="19" s="1"/>
  <c r="A5" i="19" s="1"/>
  <c r="A3" i="17" l="1"/>
  <c r="A4" i="17" s="1"/>
  <c r="A5" i="17" s="1"/>
  <c r="I3" i="15"/>
  <c r="I2" i="15"/>
  <c r="K3" i="15" l="1"/>
  <c r="J3" i="15"/>
  <c r="I4" i="15"/>
  <c r="I5" i="15"/>
  <c r="J5" i="15" l="1"/>
  <c r="K5" i="15"/>
  <c r="A3" i="15"/>
  <c r="A4" i="15" s="1"/>
  <c r="A5" i="15" s="1"/>
</calcChain>
</file>

<file path=xl/sharedStrings.xml><?xml version="1.0" encoding="utf-8"?>
<sst xmlns="http://schemas.openxmlformats.org/spreadsheetml/2006/main" count="89" uniqueCount="18">
  <si>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</si>
  <si>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</si>
  <si>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</si>
  <si>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</si>
  <si>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</si>
  <si>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</si>
  <si>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</si>
  <si>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</si>
  <si>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</si>
  <si>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</si>
  <si>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</si>
  <si>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</si>
  <si>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</si>
  <si>
    <t>1-step</t>
  </si>
  <si>
    <t>5-step</t>
  </si>
  <si>
    <t>Low</t>
  </si>
  <si>
    <t>High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</si>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</sst>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M5"/>
  <sheetViews>
    <sheetView zoomScaleNormal="100" workbookViewId="0">
      <selection activeCell="L2" sqref="L2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0" max="11" width="5.5703125" bestFit="1" customWidth="1"/>
    <col min="12" max="12" width="11.42578125" bestFit="1" customWidth="1"/>
    <col min="13" max="13" width="6.5703125" bestFit="1" customWidth="1"/>
  </cols>
  <sheetData>
    <row r="1" spans="1:13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  <c r="M1" s="3" t="s">
        <v>17</v>
      </c>
    </row>
    <row r="2" spans="1:13" x14ac:dyDescent="0.25">
      <c r="A2" s="2">
        <v>0</v>
      </c>
      <c r="B2" s="1" t="s">
        <v>13</v>
      </c>
      <c r="C2" s="4">
        <v>2.7847923692552938</v>
      </c>
      <c r="D2" s="4">
        <v>3.4123147795212243E-2</v>
      </c>
      <c r="E2" s="4">
        <v>0</v>
      </c>
      <c r="F2" s="4">
        <v>2.2762815835674303E-3</v>
      </c>
      <c r="G2" s="4">
        <v>0</v>
      </c>
      <c r="H2" s="4">
        <v>0</v>
      </c>
      <c r="I2" s="4">
        <f>SUM(C2:H2)</f>
        <v>2.8211917986340733</v>
      </c>
      <c r="J2" s="4">
        <f>I2-2*M2</f>
        <v>2.1665557159683471</v>
      </c>
      <c r="K2" s="4">
        <f>I2+2*M2</f>
        <v>3.4758278812997996</v>
      </c>
      <c r="L2" s="4">
        <v>2.66364887068573</v>
      </c>
      <c r="M2" s="4">
        <v>0.32731804133286319</v>
      </c>
    </row>
    <row r="3" spans="1:13" x14ac:dyDescent="0.25">
      <c r="A3" s="2">
        <f>A2+1</f>
        <v>1</v>
      </c>
      <c r="B3" s="1" t="s">
        <v>14</v>
      </c>
      <c r="C3" s="4">
        <v>3.0433671996858762</v>
      </c>
      <c r="D3" s="4">
        <v>0.37149029531501848</v>
      </c>
      <c r="E3" s="4">
        <v>2.0038875775651482E-2</v>
      </c>
      <c r="F3" s="4">
        <v>5.4826202807131763E-3</v>
      </c>
      <c r="G3" s="4">
        <v>0</v>
      </c>
      <c r="H3" s="4">
        <v>2.530295351022005E-8</v>
      </c>
      <c r="I3" s="4">
        <f>SUM(C3:H3)</f>
        <v>3.4403790163602128</v>
      </c>
      <c r="J3" s="4">
        <f>I3-2*M3</f>
        <v>2.7206382118185779</v>
      </c>
      <c r="K3" s="4">
        <f t="shared" ref="K3:K5" si="0">I3+2*M3</f>
        <v>4.1601198209018477</v>
      </c>
      <c r="L3" s="4">
        <v>2.9332129887485459</v>
      </c>
      <c r="M3" s="4">
        <v>0.35987040227081746</v>
      </c>
    </row>
    <row r="4" spans="1:13" x14ac:dyDescent="0.25">
      <c r="A4" s="2">
        <f t="shared" ref="A4:A5" si="1">A3+1</f>
        <v>2</v>
      </c>
      <c r="B4" s="1" t="s">
        <v>13</v>
      </c>
      <c r="C4" s="4">
        <v>0.66616005754134133</v>
      </c>
      <c r="D4" s="4">
        <f t="shared" ref="D4:H5" si="2">D2</f>
        <v>3.4123147795212243E-2</v>
      </c>
      <c r="E4" s="4">
        <f t="shared" si="2"/>
        <v>0</v>
      </c>
      <c r="F4" s="4">
        <f t="shared" si="2"/>
        <v>2.2762815835674303E-3</v>
      </c>
      <c r="G4" s="4">
        <f t="shared" si="2"/>
        <v>0</v>
      </c>
      <c r="H4" s="4">
        <f t="shared" si="2"/>
        <v>0</v>
      </c>
      <c r="I4" s="4">
        <f>SUM(C4:H4)</f>
        <v>0.70255948692012093</v>
      </c>
      <c r="J4" s="4">
        <f>I4-2*M4</f>
        <v>0.34840596386625788</v>
      </c>
      <c r="K4" s="4">
        <f t="shared" si="0"/>
        <v>1.0567130099739841</v>
      </c>
      <c r="L4" s="4">
        <v>0.21045218805686819</v>
      </c>
      <c r="M4" s="4">
        <v>0.17707676152693153</v>
      </c>
    </row>
    <row r="5" spans="1:13" x14ac:dyDescent="0.25">
      <c r="A5" s="2">
        <f t="shared" si="1"/>
        <v>3</v>
      </c>
      <c r="B5" s="1" t="s">
        <v>14</v>
      </c>
      <c r="C5" s="4">
        <v>0.7280146596366639</v>
      </c>
      <c r="D5" s="4">
        <f t="shared" si="2"/>
        <v>0.37149029531501848</v>
      </c>
      <c r="E5" s="4">
        <f t="shared" si="2"/>
        <v>2.0038875775651482E-2</v>
      </c>
      <c r="F5" s="4">
        <f t="shared" si="2"/>
        <v>5.4826202807131763E-3</v>
      </c>
      <c r="G5" s="4">
        <f t="shared" si="2"/>
        <v>0</v>
      </c>
      <c r="H5" s="4">
        <f t="shared" si="2"/>
        <v>2.530295351022005E-8</v>
      </c>
      <c r="I5" s="4">
        <f>SUM(C5:H5)</f>
        <v>1.1250264763110007</v>
      </c>
      <c r="J5" s="4">
        <f>I5-2*M5</f>
        <v>0.73090244021714956</v>
      </c>
      <c r="K5" s="4">
        <f t="shared" si="0"/>
        <v>1.5191505124048519</v>
      </c>
      <c r="L5" s="4">
        <v>0.25223107945362933</v>
      </c>
      <c r="M5" s="4">
        <v>0.19706201804692555</v>
      </c>
    </row>
  </sheetData>
  <conditionalFormatting sqref="I2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 K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 K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 K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 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3BC3-354F-45C6-8CAE-219067639518}">
  <dimension ref="A1:O5"/>
  <sheetViews>
    <sheetView zoomScaleNormal="100" workbookViewId="0">
      <selection activeCell="J44" sqref="J44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5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  <c r="O1" s="3" t="s">
        <v>17</v>
      </c>
    </row>
    <row r="2" spans="1:15" ht="18" x14ac:dyDescent="0.35">
      <c r="A2" s="2">
        <v>0</v>
      </c>
      <c r="B2" s="1" t="s">
        <v>10</v>
      </c>
      <c r="C2" s="4">
        <v>2.7847923692552938</v>
      </c>
      <c r="D2" s="4">
        <v>0</v>
      </c>
      <c r="E2" s="4">
        <v>0</v>
      </c>
      <c r="F2" s="4">
        <v>3.4123147795212243E-2</v>
      </c>
      <c r="G2" s="4">
        <v>0</v>
      </c>
      <c r="H2" s="4">
        <v>2.2762815835674303E-3</v>
      </c>
      <c r="I2" s="4">
        <v>0</v>
      </c>
      <c r="J2" s="4">
        <v>0</v>
      </c>
      <c r="K2" s="4">
        <f>SUM(C2:J2)</f>
        <v>2.8211917986340733</v>
      </c>
      <c r="L2" s="4">
        <f>K2-2*O2</f>
        <v>2.1665557159683471</v>
      </c>
      <c r="M2" s="4">
        <f>K2+2*O2</f>
        <v>3.4758278812997996</v>
      </c>
      <c r="N2" s="4">
        <v>2.66364887068573</v>
      </c>
      <c r="O2" s="4">
        <v>0.32731804133286319</v>
      </c>
    </row>
    <row r="3" spans="1:15" ht="18" x14ac:dyDescent="0.35">
      <c r="A3" s="2">
        <f>A2+1</f>
        <v>1</v>
      </c>
      <c r="B3" s="1" t="s">
        <v>11</v>
      </c>
      <c r="C3" s="4">
        <v>0</v>
      </c>
      <c r="D3" s="4">
        <v>0.93402477368207926</v>
      </c>
      <c r="E3" s="4">
        <v>7.1590206014822355E-2</v>
      </c>
      <c r="F3" s="4">
        <v>6.0084848449885563E-2</v>
      </c>
      <c r="G3" s="4">
        <v>0.13736127144905741</v>
      </c>
      <c r="H3" s="4">
        <v>1.2946870231473496E-3</v>
      </c>
      <c r="I3" s="4">
        <v>0</v>
      </c>
      <c r="J3" s="4">
        <v>8.1327667296859252E-2</v>
      </c>
      <c r="K3" s="4">
        <f>SUM(C3:J3)</f>
        <v>1.285683453915851</v>
      </c>
      <c r="L3" s="4">
        <f>K3-2*O3</f>
        <v>1.0881122859301826</v>
      </c>
      <c r="M3" s="4">
        <f>K3+2*O3</f>
        <v>1.4832546219015195</v>
      </c>
      <c r="N3" s="4">
        <v>1.1491449273765</v>
      </c>
      <c r="O3" s="4">
        <v>9.8785583992834256E-2</v>
      </c>
    </row>
    <row r="4" spans="1:15" ht="18" x14ac:dyDescent="0.35">
      <c r="A4" s="2">
        <f t="shared" ref="A4:A5" si="0">A3+1</f>
        <v>2</v>
      </c>
      <c r="B4" s="1" t="s">
        <v>10</v>
      </c>
      <c r="C4" s="4">
        <v>0.66616005754134133</v>
      </c>
      <c r="D4" s="4">
        <f t="shared" ref="D4:J4" si="1">D2</f>
        <v>0</v>
      </c>
      <c r="E4" s="4">
        <f t="shared" si="1"/>
        <v>0</v>
      </c>
      <c r="F4" s="4">
        <f t="shared" si="1"/>
        <v>3.4123147795212243E-2</v>
      </c>
      <c r="G4" s="4">
        <f t="shared" si="1"/>
        <v>0</v>
      </c>
      <c r="H4" s="4">
        <f t="shared" si="1"/>
        <v>2.2762815835674303E-3</v>
      </c>
      <c r="I4" s="4">
        <f t="shared" si="1"/>
        <v>0</v>
      </c>
      <c r="J4" s="4">
        <f t="shared" si="1"/>
        <v>0</v>
      </c>
      <c r="K4" s="4">
        <f>SUM(C4:J4)</f>
        <v>0.70255948692012093</v>
      </c>
      <c r="L4" s="4">
        <f>K4-2*O4</f>
        <v>0.34840596386625788</v>
      </c>
      <c r="M4" s="4">
        <f>K4+2*O4</f>
        <v>1.0567130099739841</v>
      </c>
      <c r="N4" s="4">
        <v>0.21045218805686819</v>
      </c>
      <c r="O4" s="4">
        <v>0.17707676152693153</v>
      </c>
    </row>
    <row r="5" spans="1:15" ht="18" x14ac:dyDescent="0.35">
      <c r="A5" s="2">
        <f t="shared" si="0"/>
        <v>3</v>
      </c>
      <c r="B5" s="1" t="s">
        <v>11</v>
      </c>
      <c r="C5" s="4">
        <v>0</v>
      </c>
      <c r="D5" s="4">
        <v>0.14054270293497931</v>
      </c>
      <c r="E5" s="4">
        <f t="shared" ref="E5:J5" si="2">E3</f>
        <v>7.1590206014822355E-2</v>
      </c>
      <c r="F5" s="4">
        <f t="shared" si="2"/>
        <v>6.0084848449885563E-2</v>
      </c>
      <c r="G5" s="4">
        <f t="shared" si="2"/>
        <v>0.13736127144905741</v>
      </c>
      <c r="H5" s="4">
        <f t="shared" si="2"/>
        <v>1.2946870231473496E-3</v>
      </c>
      <c r="I5" s="4">
        <f t="shared" si="2"/>
        <v>0</v>
      </c>
      <c r="J5" s="4">
        <f t="shared" si="2"/>
        <v>8.1327667296859252E-2</v>
      </c>
      <c r="K5" s="4">
        <f>SUM(C5:J5)</f>
        <v>0.49220138316875123</v>
      </c>
      <c r="L5" s="4">
        <f>K5-2*O5</f>
        <v>0.32534263909664451</v>
      </c>
      <c r="M5" s="4">
        <f>K5+2*O5</f>
        <v>0.65906012724085794</v>
      </c>
      <c r="N5" s="4">
        <v>0.37067895766329961</v>
      </c>
      <c r="O5" s="4">
        <v>8.3429372036053343E-2</v>
      </c>
    </row>
  </sheetData>
  <conditionalFormatting sqref="K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577D1-A220-4450-A857-787225E6CDCC}">
  <dimension ref="A1:J5"/>
  <sheetViews>
    <sheetView zoomScaleNormal="100" workbookViewId="0">
      <selection activeCell="J2" sqref="J2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6.140625" bestFit="1" customWidth="1"/>
    <col min="8" max="8" width="5.5703125" bestFit="1" customWidth="1"/>
  </cols>
  <sheetData>
    <row r="1" spans="1:10" x14ac:dyDescent="0.25">
      <c r="B1" s="8" t="s">
        <v>3</v>
      </c>
      <c r="C1" s="9">
        <v>2020</v>
      </c>
      <c r="G1" s="8" t="s">
        <v>3</v>
      </c>
      <c r="H1" s="8">
        <v>2050</v>
      </c>
    </row>
    <row r="2" spans="1:10" ht="18" x14ac:dyDescent="0.35">
      <c r="A2" s="2">
        <v>0</v>
      </c>
      <c r="B2" s="1" t="s">
        <v>10</v>
      </c>
      <c r="C2" s="4">
        <v>2.8211917986340733</v>
      </c>
      <c r="D2" s="5">
        <v>0.27538545025204569</v>
      </c>
      <c r="E2" s="4">
        <f>D2*C2</f>
        <v>0.77691517371422292</v>
      </c>
      <c r="G2" s="1" t="s">
        <v>10</v>
      </c>
      <c r="H2" s="7">
        <v>2.66364887068573</v>
      </c>
      <c r="I2" s="5">
        <v>0.38258155923208642</v>
      </c>
      <c r="J2" s="4">
        <f>I2*H2</f>
        <v>1.0190629381937326</v>
      </c>
    </row>
    <row r="3" spans="1:10" ht="18" x14ac:dyDescent="0.35">
      <c r="A3" s="2">
        <f>A2+1</f>
        <v>1</v>
      </c>
      <c r="B3" s="1" t="s">
        <v>11</v>
      </c>
      <c r="C3" s="4">
        <v>1.285683453915851</v>
      </c>
      <c r="D3" s="5"/>
      <c r="E3" s="4"/>
      <c r="G3" s="1" t="s">
        <v>11</v>
      </c>
      <c r="H3" s="4">
        <v>1.1491449273765</v>
      </c>
      <c r="I3" s="5"/>
      <c r="J3" s="4"/>
    </row>
    <row r="4" spans="1:10" ht="18" x14ac:dyDescent="0.35">
      <c r="A4" s="2">
        <f t="shared" ref="A4" si="0">A3+1</f>
        <v>2</v>
      </c>
      <c r="B4" s="1" t="s">
        <v>10</v>
      </c>
      <c r="C4" s="4">
        <v>0.70255948692012093</v>
      </c>
      <c r="D4" s="5">
        <f>1-D2</f>
        <v>0.72461454974795436</v>
      </c>
      <c r="E4" s="4">
        <f>D4*C4</f>
        <v>0.50908482628577723</v>
      </c>
      <c r="G4" s="1" t="s">
        <v>10</v>
      </c>
      <c r="H4" s="7">
        <v>0.21045218805686819</v>
      </c>
      <c r="I4" s="5">
        <f>1-I2</f>
        <v>0.61741844076791352</v>
      </c>
      <c r="J4" s="4">
        <f>I4*H4</f>
        <v>0.12993706180626727</v>
      </c>
    </row>
    <row r="5" spans="1:10" x14ac:dyDescent="0.25">
      <c r="E5" s="6">
        <f>SUM(E2+E4)</f>
        <v>1.286</v>
      </c>
      <c r="J5" s="6">
        <f>SUM(J2+J4)</f>
        <v>1.1489999999999998</v>
      </c>
    </row>
  </sheetData>
  <conditionalFormatting sqref="C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L5"/>
  <sheetViews>
    <sheetView tabSelected="1" zoomScaleNormal="100" workbookViewId="0">
      <selection activeCell="O9" sqref="O9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</row>
    <row r="2" spans="1:12" x14ac:dyDescent="0.25">
      <c r="A2" s="2">
        <v>0</v>
      </c>
      <c r="B2" s="1" t="s">
        <v>13</v>
      </c>
      <c r="C2" s="4">
        <v>0.5959429191976231</v>
      </c>
      <c r="D2" s="4">
        <v>4.7000672476377415E-3</v>
      </c>
      <c r="E2" s="4">
        <v>0</v>
      </c>
      <c r="F2" s="4">
        <v>2.3076491450649021E-3</v>
      </c>
      <c r="G2" s="4">
        <v>3.2696429096004974E-2</v>
      </c>
      <c r="H2" s="4">
        <v>0</v>
      </c>
      <c r="I2" s="4">
        <f>SUM(C2:H2)</f>
        <v>0.6356470646863307</v>
      </c>
      <c r="J2" s="1">
        <v>0.58699999999999997</v>
      </c>
      <c r="K2" s="1">
        <v>0.68600000000000005</v>
      </c>
      <c r="L2" s="4">
        <v>0.79500000000000004</v>
      </c>
    </row>
    <row r="3" spans="1:12" x14ac:dyDescent="0.25">
      <c r="A3" s="2">
        <f>A2+1</f>
        <v>1</v>
      </c>
      <c r="B3" s="1" t="s">
        <v>14</v>
      </c>
      <c r="C3" s="4">
        <v>0.65127768705287892</v>
      </c>
      <c r="D3" s="4">
        <v>5.1168474233421232E-2</v>
      </c>
      <c r="E3" s="4">
        <v>1.9080895954422348E-3</v>
      </c>
      <c r="F3" s="4">
        <v>6.6061416810474644E-3</v>
      </c>
      <c r="G3" s="4">
        <v>0.13951302177365515</v>
      </c>
      <c r="H3" s="4">
        <v>0</v>
      </c>
      <c r="I3" s="4">
        <f>SUM(C3:H3)</f>
        <v>0.85047341433644497</v>
      </c>
      <c r="J3" s="1">
        <v>0.79700000000000004</v>
      </c>
      <c r="K3" s="1">
        <v>0.90500000000000003</v>
      </c>
      <c r="L3" s="4">
        <v>1.0249999999999999</v>
      </c>
    </row>
    <row r="4" spans="1:12" x14ac:dyDescent="0.25">
      <c r="A4" s="2">
        <f t="shared" ref="A4:A5" si="0">A3+1</f>
        <v>2</v>
      </c>
      <c r="B4" s="1" t="s">
        <v>13</v>
      </c>
      <c r="C4" s="4">
        <v>1.1179750688871131</v>
      </c>
      <c r="D4" s="4">
        <f>D2</f>
        <v>4.7000672476377415E-3</v>
      </c>
      <c r="E4" s="4">
        <f>E2</f>
        <v>0</v>
      </c>
      <c r="F4" s="4">
        <f>F2</f>
        <v>2.3076491450649021E-3</v>
      </c>
      <c r="G4" s="4">
        <f>G2</f>
        <v>3.2696429096004974E-2</v>
      </c>
      <c r="H4" s="4">
        <f>H2</f>
        <v>0</v>
      </c>
      <c r="I4" s="4">
        <f>SUM(C4:H4)</f>
        <v>1.1576792143758208</v>
      </c>
      <c r="J4" s="1">
        <v>0.879</v>
      </c>
      <c r="K4" s="1">
        <v>1.4650000000000001</v>
      </c>
      <c r="L4" s="4">
        <v>0.79700000000000004</v>
      </c>
    </row>
    <row r="5" spans="1:12" x14ac:dyDescent="0.25">
      <c r="A5" s="2">
        <f t="shared" si="0"/>
        <v>3</v>
      </c>
      <c r="B5" s="1" t="s">
        <v>14</v>
      </c>
      <c r="C5" s="4">
        <v>1.2217818076065263</v>
      </c>
      <c r="D5" s="4">
        <f>D3</f>
        <v>5.1168474233421232E-2</v>
      </c>
      <c r="E5" s="4">
        <f>E3</f>
        <v>1.9080895954422348E-3</v>
      </c>
      <c r="F5" s="4">
        <f>F3</f>
        <v>6.6061416810474644E-3</v>
      </c>
      <c r="G5" s="4">
        <f>G3</f>
        <v>0.13951302177365515</v>
      </c>
      <c r="H5" s="4">
        <v>0</v>
      </c>
      <c r="I5" s="4">
        <f>SUM(C5:H5)</f>
        <v>1.4209775348900924</v>
      </c>
      <c r="J5" s="1">
        <v>1.1160000000000001</v>
      </c>
      <c r="K5" s="1">
        <v>1.7569999999999999</v>
      </c>
      <c r="L5" s="4">
        <v>1.0269999999999999</v>
      </c>
    </row>
  </sheetData>
  <conditionalFormatting sqref="I3: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33B-5606-4623-ABA0-C76C38F9D7AD}">
  <dimension ref="A1:N5"/>
  <sheetViews>
    <sheetView zoomScaleNormal="100" workbookViewId="0">
      <selection activeCell="L4" sqref="L4:M4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v>0.5959429191976231</v>
      </c>
      <c r="D2" s="4">
        <v>0</v>
      </c>
      <c r="E2" s="4">
        <v>0</v>
      </c>
      <c r="F2" s="4">
        <v>4.7000672476377415E-3</v>
      </c>
      <c r="G2" s="4">
        <v>0</v>
      </c>
      <c r="H2" s="4">
        <v>2.3076491450649021E-3</v>
      </c>
      <c r="I2" s="4">
        <v>3.2696429096004974E-2</v>
      </c>
      <c r="J2" s="4">
        <v>0</v>
      </c>
      <c r="K2" s="4">
        <f>SUM(C2:J2)</f>
        <v>0.6356470646863307</v>
      </c>
      <c r="L2" s="1">
        <v>0.58699999999999997</v>
      </c>
      <c r="M2" s="1">
        <v>0.68600000000000005</v>
      </c>
      <c r="N2" s="4">
        <v>0.79500000000000004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1.6715562972717923</v>
      </c>
    </row>
    <row r="4" spans="1:14" ht="18" x14ac:dyDescent="0.35">
      <c r="A4" s="2">
        <f t="shared" ref="A4:A5" si="0">A3+1</f>
        <v>2</v>
      </c>
      <c r="B4" s="1" t="s">
        <v>10</v>
      </c>
      <c r="C4" s="4">
        <v>1.1179750688871131</v>
      </c>
      <c r="D4" s="4">
        <f>D2</f>
        <v>0</v>
      </c>
      <c r="E4" s="4">
        <f>E2</f>
        <v>0</v>
      </c>
      <c r="F4" s="4">
        <v>4.7000672476377415E-3</v>
      </c>
      <c r="G4" s="4">
        <v>0</v>
      </c>
      <c r="H4" s="4">
        <v>2.3076491450649021E-3</v>
      </c>
      <c r="I4" s="4">
        <v>3.2696429096004974E-2</v>
      </c>
      <c r="J4" s="4">
        <v>0</v>
      </c>
      <c r="K4" s="4">
        <f>SUM(C4:J4)</f>
        <v>1.1576792143758208</v>
      </c>
      <c r="L4" s="1">
        <v>0.879</v>
      </c>
      <c r="M4" s="1">
        <v>1.4650000000000001</v>
      </c>
      <c r="N4" s="4">
        <v>0.79700000000000004</v>
      </c>
    </row>
    <row r="5" spans="1:14" ht="18" x14ac:dyDescent="0.35">
      <c r="A5" s="2">
        <f t="shared" si="0"/>
        <v>3</v>
      </c>
      <c r="B5" s="1" t="s">
        <v>11</v>
      </c>
      <c r="C5" s="4">
        <f>C3</f>
        <v>0</v>
      </c>
      <c r="D5" s="4">
        <v>0.40896939591948012</v>
      </c>
      <c r="E5" s="4">
        <f t="shared" ref="E5:J5" si="1">E3</f>
        <v>1.4572960426533341</v>
      </c>
      <c r="F5" s="4">
        <f t="shared" si="1"/>
        <v>8.2759901362157908E-3</v>
      </c>
      <c r="G5" s="4">
        <f t="shared" si="1"/>
        <v>1.3848836761850409E-2</v>
      </c>
      <c r="H5" s="4">
        <f t="shared" si="1"/>
        <v>1.4293923222371456E-3</v>
      </c>
      <c r="I5" s="4">
        <f t="shared" si="1"/>
        <v>3.6481025269424254E-2</v>
      </c>
      <c r="J5" s="4">
        <f t="shared" si="1"/>
        <v>0</v>
      </c>
      <c r="K5" s="4">
        <f>SUM(C5:J5)</f>
        <v>1.9263006830625418</v>
      </c>
      <c r="L5" s="1">
        <v>1.859</v>
      </c>
      <c r="M5" s="1">
        <v>1.9970000000000001</v>
      </c>
      <c r="N5" s="4">
        <v>1.7478293363730424</v>
      </c>
    </row>
  </sheetData>
  <conditionalFormatting sqref="K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BAE3-24F9-4571-9515-7801E3082493}">
  <dimension ref="A1:N3"/>
  <sheetViews>
    <sheetView zoomScaleNormal="100" workbookViewId="0">
      <selection activeCell="O20" sqref="O20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f>economics_N_vs_H!C2*blend!$D$2+economics_N_vs_H!C4*blend!$D$4</f>
        <v>0.97421501029882962</v>
      </c>
      <c r="D2" s="4">
        <f>economics_N_vs_H!D2*blend!$D$2+economics_N_vs_H!D4*blend!$D$4</f>
        <v>0</v>
      </c>
      <c r="E2" s="4">
        <f>economics_N_vs_H!E2*blend!$D$2+economics_N_vs_H!E4*blend!$D$4</f>
        <v>0</v>
      </c>
      <c r="F2" s="4">
        <f>economics_N_vs_H!F2*blend!$D$2+economics_N_vs_H!F4*blend!$D$4</f>
        <v>4.7000672476377415E-3</v>
      </c>
      <c r="G2" s="4">
        <f>economics_N_vs_H!G2*blend!$D$2+economics_N_vs_H!G4*blend!$D$4</f>
        <v>0</v>
      </c>
      <c r="H2" s="4">
        <f>economics_N_vs_H!H2*blend!$D$2+economics_N_vs_H!H4*blend!$D$4</f>
        <v>2.3076491450649021E-3</v>
      </c>
      <c r="I2" s="4">
        <f>economics_N_vs_H!I2*blend!$D$2+economics_N_vs_H!I4*blend!$D$4</f>
        <v>3.2696429096004974E-2</v>
      </c>
      <c r="J2" s="4">
        <f>economics_N_vs_H!J2*blend!$D$2+economics_N_vs_H!J4*blend!$D$4</f>
        <v>0</v>
      </c>
      <c r="K2" s="4">
        <f>SUM(C2:J2)</f>
        <v>1.0139191557875371</v>
      </c>
      <c r="L2" s="4">
        <f>economics_N_vs_H!L2*blend!$D$2+economics_N_vs_H!L4*blend!$D$4</f>
        <v>0.79858744852640262</v>
      </c>
      <c r="M2" s="4">
        <f>economics_N_vs_H!M2*blend!$D$2+economics_N_vs_H!M4*blend!$D$4</f>
        <v>1.2504747342536564</v>
      </c>
      <c r="N2" s="4">
        <f>economics_N_vs_H!N2*blend!I2+economics_N_vs_H!N4*blend!I4</f>
        <v>0.79623483688153573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1.6715562972717923</v>
      </c>
    </row>
  </sheetData>
  <conditionalFormatting sqref="K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climate_change_1-step_vs_5-step</vt:lpstr>
      <vt:lpstr>climate_change_N_vs_H</vt:lpstr>
      <vt:lpstr>blend</vt:lpstr>
      <vt:lpstr>economics_1-step_vs_5-step</vt:lpstr>
      <vt:lpstr>economics_N_vs_H</vt:lpstr>
      <vt:lpstr>economics_blend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2025-05-26T15:30:17Z</dcterms:modified>
</cp:coreProperties>
</file>