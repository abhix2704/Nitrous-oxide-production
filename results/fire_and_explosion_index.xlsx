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results\"/>
    </mc:Choice>
  </mc:AlternateContent>
  <xr:revisionPtr revIDLastSave="0" documentId="13_ncr:1_{B25FDAA1-6E5D-4075-81E2-9ABC043E4672}" xr6:coauthVersionLast="36" xr6:coauthVersionMax="36" xr10:uidLastSave="{00000000-0000-0000-0000-000000000000}"/>
  <bookViews>
    <workbookView xWindow="0" yWindow="0" windowWidth="38400" windowHeight="16725" activeTab="1" xr2:uid="{27E07CFF-33E2-45AC-A1B7-5E8839713283}"/>
  </bookViews>
  <sheets>
    <sheet name="5-step" sheetId="1" r:id="rId1"/>
    <sheet name="1-ste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2" i="2" l="1"/>
  <c r="B43" i="2" s="1"/>
  <c r="B43" i="1" l="1"/>
  <c r="B42" i="1" l="1"/>
  <c r="B41" i="2"/>
  <c r="B39" i="2"/>
  <c r="B41" i="1"/>
  <c r="B39" i="1"/>
  <c r="B37" i="2" l="1"/>
  <c r="B37" i="1"/>
  <c r="B35" i="2" l="1"/>
  <c r="B35" i="1"/>
  <c r="B34" i="2" l="1"/>
  <c r="B34" i="1"/>
  <c r="B23" i="2"/>
  <c r="B29" i="1"/>
  <c r="B13" i="1"/>
  <c r="B17" i="2"/>
  <c r="B13" i="2"/>
  <c r="B23" i="1"/>
  <c r="B29" i="2" l="1"/>
  <c r="B31" i="2" s="1"/>
  <c r="B33" i="2" s="1"/>
  <c r="B17" i="1" l="1"/>
  <c r="B31" i="1" l="1"/>
  <c r="B33" i="1" s="1"/>
</calcChain>
</file>

<file path=xl/sharedStrings.xml><?xml version="1.0" encoding="utf-8"?>
<sst xmlns="http://schemas.openxmlformats.org/spreadsheetml/2006/main" count="78" uniqueCount="36">
  <si>
    <t>Base factor</t>
  </si>
  <si>
    <t>Exothermic chemical reactions</t>
  </si>
  <si>
    <t>Endothermic processes</t>
  </si>
  <si>
    <t>Material handling and transfer</t>
  </si>
  <si>
    <t>Enclosed or indoor process units</t>
  </si>
  <si>
    <t>Access</t>
  </si>
  <si>
    <t>Drainage and spill control</t>
  </si>
  <si>
    <t>Fire &amp; Explosion Index</t>
  </si>
  <si>
    <t>Special process hazards</t>
  </si>
  <si>
    <t>General process hazards</t>
  </si>
  <si>
    <t>Toxic materials</t>
  </si>
  <si>
    <t>Sub-atmospheric pressure</t>
  </si>
  <si>
    <t>Operation in or near flammable range</t>
  </si>
  <si>
    <t>Dust explosion</t>
  </si>
  <si>
    <t>Pressure</t>
  </si>
  <si>
    <t>Low temperature</t>
  </si>
  <si>
    <t>Quantity of flammable/unstable material</t>
  </si>
  <si>
    <t>Corrision and erosion</t>
  </si>
  <si>
    <t>Leakage - joints and packing</t>
  </si>
  <si>
    <t>Use of fired equipment</t>
  </si>
  <si>
    <t>Hot oil heat exchange system</t>
  </si>
  <si>
    <t>Rotating equipment</t>
  </si>
  <si>
    <t>Material factor</t>
  </si>
  <si>
    <t>Appendix A</t>
  </si>
  <si>
    <t>Process units hazards factor</t>
  </si>
  <si>
    <t>Appendix A (temperature adjusted)</t>
  </si>
  <si>
    <t>Loss control credit factor</t>
  </si>
  <si>
    <t>Actual Maximum Probable Property Damage (MM$)</t>
  </si>
  <si>
    <t>Maximum Probable Days Outage</t>
  </si>
  <si>
    <t>Radius of Exposure (m)</t>
  </si>
  <si>
    <r>
      <t>Area of Exposure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</si>
  <si>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Orginal Cost (MM$)</t>
  </si>
  <si>
    <t>Replacement Value (MM$)</t>
  </si>
  <si>
    <t>Damage Factor</t>
  </si>
  <si>
    <t>Business Interruption (MM$)</t>
  </si>
  <si>
    <t>Base Maximum Probable Property Damage (MM$)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</si>
</sst>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/>
    <xf numFmtId="2" fontId="1" fillId="0" borderId="1" xfId="0" applyNumberFormat="1" applyFont="1" applyBorder="1"/>
    <xf numFmtId="2" fontId="1" fillId="0" borderId="1" xfId="0" applyNumberFormat="1" applyFont="1" applyBorder="1" applyAlignment="1">
      <alignment horizontal="right"/>
    </xf>
    <xf numFmtId="0" fontId="1" fillId="0" borderId="1" xfId="0" applyFont="1" applyBorder="1" applyAlignment="1"/>
    <xf numFmtId="2" fontId="1" fillId="0" borderId="1" xfId="0" applyNumberFormat="1" applyFont="1" applyBorder="1" applyAlignment="1"/>
    <xf numFmtId="0" fontId="1" fillId="0" borderId="1" xfId="0" applyFont="1" applyFill="1" applyBorder="1"/>
    <xf numFmtId="0" fontId="0" fillId="0" borderId="1" xfId="0" applyFont="1" applyFill="1" applyBorder="1"/>
    <xf numFmtId="2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DBF6-C07A-4F80-85FA-3366F951286F}">
  <dimension ref="A1:C43"/>
  <sheetViews>
    <sheetView workbookViewId="0">
      <selection activeCell="E36" sqref="E36"/>
    </sheetView>
  </sheetViews>
  <sheetFormatPr defaultRowHeight="15" x14ac:dyDescent="0.25"/>
  <cols>
    <col min="1" max="1" width="48" bestFit="1" customWidth="1"/>
    <col min="2" max="2" width="10.7109375" customWidth="1"/>
  </cols>
  <sheetData>
    <row r="1" spans="1:3" x14ac:dyDescent="0.25">
      <c r="A1" s="5" t="s">
        <v>7</v>
      </c>
      <c r="B1" s="5"/>
    </row>
    <row r="2" spans="1:3" x14ac:dyDescent="0.25">
      <c r="A2" s="3"/>
      <c r="B2" s="3"/>
    </row>
    <row r="3" spans="1:3" x14ac:dyDescent="0.25">
      <c r="A3" s="4" t="s">
        <v>22</v>
      </c>
      <c r="B3" s="10">
        <v>29</v>
      </c>
      <c r="C3" t="s">
        <v>23</v>
      </c>
    </row>
    <row r="4" spans="1:3" x14ac:dyDescent="0.25">
      <c r="A4" s="3"/>
      <c r="B4" s="3"/>
    </row>
    <row r="5" spans="1:3" x14ac:dyDescent="0.25">
      <c r="A5" s="5" t="s">
        <v>9</v>
      </c>
      <c r="B5" s="5"/>
    </row>
    <row r="6" spans="1:3" x14ac:dyDescent="0.25">
      <c r="A6" s="6" t="s">
        <v>0</v>
      </c>
      <c r="B6" s="7">
        <v>1</v>
      </c>
    </row>
    <row r="7" spans="1:3" x14ac:dyDescent="0.25">
      <c r="A7" s="6" t="s">
        <v>1</v>
      </c>
      <c r="B7" s="7">
        <v>1</v>
      </c>
    </row>
    <row r="8" spans="1:3" x14ac:dyDescent="0.25">
      <c r="A8" s="6" t="s">
        <v>2</v>
      </c>
      <c r="B8" s="7">
        <v>0.4</v>
      </c>
    </row>
    <row r="9" spans="1:3" x14ac:dyDescent="0.25">
      <c r="A9" s="6" t="s">
        <v>3</v>
      </c>
      <c r="B9" s="7">
        <v>0</v>
      </c>
    </row>
    <row r="10" spans="1:3" x14ac:dyDescent="0.25">
      <c r="A10" s="6" t="s">
        <v>4</v>
      </c>
      <c r="B10" s="7">
        <v>0</v>
      </c>
    </row>
    <row r="11" spans="1:3" x14ac:dyDescent="0.25">
      <c r="A11" s="6" t="s">
        <v>5</v>
      </c>
      <c r="B11" s="7">
        <v>0</v>
      </c>
    </row>
    <row r="12" spans="1:3" x14ac:dyDescent="0.25">
      <c r="A12" s="6" t="s">
        <v>6</v>
      </c>
      <c r="B12" s="7">
        <v>0</v>
      </c>
    </row>
    <row r="13" spans="1:3" x14ac:dyDescent="0.25">
      <c r="A13" s="8" t="s">
        <v>9</v>
      </c>
      <c r="B13" s="9">
        <f>SUM(B6:B12)</f>
        <v>2.4</v>
      </c>
    </row>
    <row r="14" spans="1:3" x14ac:dyDescent="0.25">
      <c r="A14" s="2"/>
      <c r="B14" s="1"/>
    </row>
    <row r="15" spans="1:3" x14ac:dyDescent="0.25">
      <c r="A15" s="5" t="s">
        <v>8</v>
      </c>
      <c r="B15" s="5"/>
    </row>
    <row r="16" spans="1:3" x14ac:dyDescent="0.25">
      <c r="A16" s="6" t="s">
        <v>0</v>
      </c>
      <c r="B16" s="7">
        <v>1</v>
      </c>
    </row>
    <row r="17" spans="1:2" x14ac:dyDescent="0.25">
      <c r="A17" s="6" t="s">
        <v>10</v>
      </c>
      <c r="B17" s="7">
        <f>0.2*0</f>
        <v>0</v>
      </c>
    </row>
    <row r="18" spans="1:2" x14ac:dyDescent="0.25">
      <c r="A18" s="6" t="s">
        <v>11</v>
      </c>
      <c r="B18" s="7">
        <v>0</v>
      </c>
    </row>
    <row r="19" spans="1:2" x14ac:dyDescent="0.25">
      <c r="A19" s="6" t="s">
        <v>12</v>
      </c>
      <c r="B19" s="7">
        <v>0</v>
      </c>
    </row>
    <row r="20" spans="1:2" x14ac:dyDescent="0.25">
      <c r="A20" s="6" t="s">
        <v>13</v>
      </c>
      <c r="B20" s="7">
        <v>0</v>
      </c>
    </row>
    <row r="21" spans="1:2" x14ac:dyDescent="0.25">
      <c r="A21" s="6" t="s">
        <v>14</v>
      </c>
      <c r="B21" s="7">
        <v>0</v>
      </c>
    </row>
    <row r="22" spans="1:2" x14ac:dyDescent="0.25">
      <c r="A22" s="6" t="s">
        <v>15</v>
      </c>
      <c r="B22" s="7">
        <v>0</v>
      </c>
    </row>
    <row r="23" spans="1:2" x14ac:dyDescent="0.25">
      <c r="A23" s="6" t="s">
        <v>16</v>
      </c>
      <c r="B23" s="7">
        <f>10^(0.280423+0.464559*LOG(2.20462*76816.9942547903*6/10^6)-0.28291*LOG(2.20462*76816.9942547903*6/10^6)^2+0.066218*LOG(2.20462*76816.9942547903*6/10^6)^3)</f>
        <v>1.9214739304102686</v>
      </c>
    </row>
    <row r="24" spans="1:2" x14ac:dyDescent="0.25">
      <c r="A24" s="6" t="s">
        <v>17</v>
      </c>
      <c r="B24" s="7">
        <v>0</v>
      </c>
    </row>
    <row r="25" spans="1:2" x14ac:dyDescent="0.25">
      <c r="A25" s="6" t="s">
        <v>18</v>
      </c>
      <c r="B25" s="7">
        <v>0</v>
      </c>
    </row>
    <row r="26" spans="1:2" x14ac:dyDescent="0.25">
      <c r="A26" s="6" t="s">
        <v>19</v>
      </c>
      <c r="B26" s="7">
        <v>0</v>
      </c>
    </row>
    <row r="27" spans="1:2" x14ac:dyDescent="0.25">
      <c r="A27" s="6" t="s">
        <v>20</v>
      </c>
      <c r="B27" s="7">
        <v>0</v>
      </c>
    </row>
    <row r="28" spans="1:2" x14ac:dyDescent="0.25">
      <c r="A28" s="6" t="s">
        <v>21</v>
      </c>
      <c r="B28" s="7">
        <v>0.5</v>
      </c>
    </row>
    <row r="29" spans="1:2" x14ac:dyDescent="0.25">
      <c r="A29" s="8" t="s">
        <v>8</v>
      </c>
      <c r="B29" s="9">
        <f>SUM(B16:B28)</f>
        <v>3.4214739304102686</v>
      </c>
    </row>
    <row r="31" spans="1:2" x14ac:dyDescent="0.25">
      <c r="A31" s="8" t="s">
        <v>24</v>
      </c>
      <c r="B31" s="9">
        <f>B13*B29</f>
        <v>8.2115374329846436</v>
      </c>
    </row>
    <row r="33" spans="1:2" x14ac:dyDescent="0.25">
      <c r="A33" s="11" t="s">
        <v>7</v>
      </c>
      <c r="B33" s="12">
        <f>B31*B3</f>
        <v>238.13458555655467</v>
      </c>
    </row>
    <row r="34" spans="1:2" x14ac:dyDescent="0.25">
      <c r="A34" s="8" t="s">
        <v>29</v>
      </c>
      <c r="B34" s="9">
        <f>B33*0.84*0.3048</f>
        <v>60.970074209215809</v>
      </c>
    </row>
    <row r="35" spans="1:2" ht="17.25" x14ac:dyDescent="0.25">
      <c r="A35" s="13" t="s">
        <v>30</v>
      </c>
      <c r="B35" s="9">
        <f>PI()*B34^2</f>
        <v>11678.399290843583</v>
      </c>
    </row>
    <row r="36" spans="1:2" x14ac:dyDescent="0.25">
      <c r="A36" s="14" t="s">
        <v>31</v>
      </c>
      <c r="B36" s="15">
        <v>41.714185454513995</v>
      </c>
    </row>
    <row r="37" spans="1:2" x14ac:dyDescent="0.25">
      <c r="A37" s="14" t="s">
        <v>32</v>
      </c>
      <c r="B37" s="15">
        <f>B36*0.82</f>
        <v>34.205632072701476</v>
      </c>
    </row>
    <row r="38" spans="1:2" x14ac:dyDescent="0.25">
      <c r="A38" s="14" t="s">
        <v>33</v>
      </c>
      <c r="B38" s="15">
        <v>0.95</v>
      </c>
    </row>
    <row r="39" spans="1:2" x14ac:dyDescent="0.25">
      <c r="A39" s="14" t="s">
        <v>35</v>
      </c>
      <c r="B39" s="15">
        <f>B37*B38</f>
        <v>32.495350469066402</v>
      </c>
    </row>
    <row r="40" spans="1:2" x14ac:dyDescent="0.25">
      <c r="A40" s="14" t="s">
        <v>26</v>
      </c>
      <c r="B40" s="15">
        <v>1</v>
      </c>
    </row>
    <row r="41" spans="1:2" x14ac:dyDescent="0.25">
      <c r="A41" s="14" t="s">
        <v>27</v>
      </c>
      <c r="B41" s="15">
        <f>B39*B40</f>
        <v>32.495350469066402</v>
      </c>
    </row>
    <row r="42" spans="1:2" x14ac:dyDescent="0.25">
      <c r="A42" s="13" t="s">
        <v>28</v>
      </c>
      <c r="B42" s="9">
        <f>10^(1.325132+0.592471*LOG(B41))</f>
        <v>166.28084896025334</v>
      </c>
    </row>
    <row r="43" spans="1:2" x14ac:dyDescent="0.25">
      <c r="A43" s="13" t="s">
        <v>34</v>
      </c>
      <c r="B43" s="9">
        <f>B42/30*22841424.5645393*0.7/10^6</f>
        <v>88.622134254574178</v>
      </c>
    </row>
  </sheetData>
  <mergeCells count="3">
    <mergeCell ref="A5:B5"/>
    <mergeCell ref="A1:B1"/>
    <mergeCell ref="A15:B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637B7-417A-41EB-BD1C-082C8FD22B0D}">
  <dimension ref="A1:C43"/>
  <sheetViews>
    <sheetView tabSelected="1" workbookViewId="0">
      <selection activeCell="H36" sqref="H36"/>
    </sheetView>
  </sheetViews>
  <sheetFormatPr defaultRowHeight="15" x14ac:dyDescent="0.25"/>
  <cols>
    <col min="1" max="1" width="48" bestFit="1" customWidth="1"/>
    <col min="2" max="2" width="10.7109375" customWidth="1"/>
  </cols>
  <sheetData>
    <row r="1" spans="1:3" x14ac:dyDescent="0.25">
      <c r="A1" s="5" t="s">
        <v>7</v>
      </c>
      <c r="B1" s="5"/>
    </row>
    <row r="2" spans="1:3" x14ac:dyDescent="0.25">
      <c r="A2" s="3"/>
      <c r="B2" s="3"/>
    </row>
    <row r="3" spans="1:3" x14ac:dyDescent="0.25">
      <c r="A3" s="4" t="s">
        <v>22</v>
      </c>
      <c r="B3" s="10">
        <v>10</v>
      </c>
      <c r="C3" t="s">
        <v>25</v>
      </c>
    </row>
    <row r="4" spans="1:3" x14ac:dyDescent="0.25">
      <c r="A4" s="3"/>
      <c r="B4" s="3"/>
    </row>
    <row r="5" spans="1:3" x14ac:dyDescent="0.25">
      <c r="A5" s="5" t="s">
        <v>9</v>
      </c>
      <c r="B5" s="5"/>
    </row>
    <row r="6" spans="1:3" x14ac:dyDescent="0.25">
      <c r="A6" s="6" t="s">
        <v>0</v>
      </c>
      <c r="B6" s="7">
        <v>1</v>
      </c>
    </row>
    <row r="7" spans="1:3" x14ac:dyDescent="0.25">
      <c r="A7" s="6" t="s">
        <v>1</v>
      </c>
      <c r="B7" s="7">
        <v>0.5</v>
      </c>
    </row>
    <row r="8" spans="1:3" x14ac:dyDescent="0.25">
      <c r="A8" s="6" t="s">
        <v>2</v>
      </c>
      <c r="B8" s="7">
        <v>0</v>
      </c>
    </row>
    <row r="9" spans="1:3" x14ac:dyDescent="0.25">
      <c r="A9" s="6" t="s">
        <v>3</v>
      </c>
      <c r="B9" s="7">
        <v>0</v>
      </c>
    </row>
    <row r="10" spans="1:3" x14ac:dyDescent="0.25">
      <c r="A10" s="6" t="s">
        <v>4</v>
      </c>
      <c r="B10" s="7">
        <v>0</v>
      </c>
    </row>
    <row r="11" spans="1:3" x14ac:dyDescent="0.25">
      <c r="A11" s="6" t="s">
        <v>5</v>
      </c>
      <c r="B11" s="7">
        <v>0</v>
      </c>
    </row>
    <row r="12" spans="1:3" x14ac:dyDescent="0.25">
      <c r="A12" s="6" t="s">
        <v>6</v>
      </c>
      <c r="B12" s="7">
        <v>0</v>
      </c>
    </row>
    <row r="13" spans="1:3" x14ac:dyDescent="0.25">
      <c r="A13" s="8" t="s">
        <v>9</v>
      </c>
      <c r="B13" s="9">
        <f>SUM(B6:B12)</f>
        <v>1.5</v>
      </c>
    </row>
    <row r="14" spans="1:3" x14ac:dyDescent="0.25">
      <c r="A14" s="2"/>
      <c r="B14" s="1"/>
    </row>
    <row r="15" spans="1:3" x14ac:dyDescent="0.25">
      <c r="A15" s="5" t="s">
        <v>8</v>
      </c>
      <c r="B15" s="5"/>
    </row>
    <row r="16" spans="1:3" x14ac:dyDescent="0.25">
      <c r="A16" s="6" t="s">
        <v>0</v>
      </c>
      <c r="B16" s="7">
        <v>1</v>
      </c>
    </row>
    <row r="17" spans="1:2" x14ac:dyDescent="0.25">
      <c r="A17" s="6" t="s">
        <v>10</v>
      </c>
      <c r="B17" s="7">
        <f>0.2*3</f>
        <v>0.60000000000000009</v>
      </c>
    </row>
    <row r="18" spans="1:2" x14ac:dyDescent="0.25">
      <c r="A18" s="6" t="s">
        <v>11</v>
      </c>
      <c r="B18" s="7">
        <v>0</v>
      </c>
    </row>
    <row r="19" spans="1:2" x14ac:dyDescent="0.25">
      <c r="A19" s="6" t="s">
        <v>12</v>
      </c>
      <c r="B19" s="7">
        <v>0</v>
      </c>
    </row>
    <row r="20" spans="1:2" x14ac:dyDescent="0.25">
      <c r="A20" s="6" t="s">
        <v>13</v>
      </c>
      <c r="B20" s="7">
        <v>0</v>
      </c>
    </row>
    <row r="21" spans="1:2" x14ac:dyDescent="0.25">
      <c r="A21" s="6" t="s">
        <v>14</v>
      </c>
      <c r="B21" s="7">
        <v>0</v>
      </c>
    </row>
    <row r="22" spans="1:2" x14ac:dyDescent="0.25">
      <c r="A22" s="6" t="s">
        <v>15</v>
      </c>
      <c r="B22" s="7">
        <v>0</v>
      </c>
    </row>
    <row r="23" spans="1:2" x14ac:dyDescent="0.25">
      <c r="A23" s="6" t="s">
        <v>16</v>
      </c>
      <c r="B23" s="7">
        <f>10^(0.17179+0.42988*LOG(30690.5025481741*8000*2.20462/10^9)-0.37244*LOG(30690.5025481741*8000*2.20462/10^9)^2+0.17712*LOG(30690.5025481741*8000*2.20462/10^9)^3-0.029984*LOG(30690.5025481741*8000*2.20462/10^9)^4)</f>
        <v>1.0646907348259158</v>
      </c>
    </row>
    <row r="24" spans="1:2" x14ac:dyDescent="0.25">
      <c r="A24" s="6" t="s">
        <v>17</v>
      </c>
      <c r="B24" s="7">
        <v>0</v>
      </c>
    </row>
    <row r="25" spans="1:2" x14ac:dyDescent="0.25">
      <c r="A25" s="6" t="s">
        <v>18</v>
      </c>
      <c r="B25" s="7">
        <v>0</v>
      </c>
    </row>
    <row r="26" spans="1:2" x14ac:dyDescent="0.25">
      <c r="A26" s="6" t="s">
        <v>19</v>
      </c>
      <c r="B26" s="7">
        <v>0</v>
      </c>
    </row>
    <row r="27" spans="1:2" x14ac:dyDescent="0.25">
      <c r="A27" s="6" t="s">
        <v>20</v>
      </c>
      <c r="B27" s="7">
        <v>0</v>
      </c>
    </row>
    <row r="28" spans="1:2" x14ac:dyDescent="0.25">
      <c r="A28" s="6" t="s">
        <v>21</v>
      </c>
      <c r="B28" s="7">
        <v>0.5</v>
      </c>
    </row>
    <row r="29" spans="1:2" x14ac:dyDescent="0.25">
      <c r="A29" s="8" t="s">
        <v>8</v>
      </c>
      <c r="B29" s="9">
        <f>SUM(B16:B28)</f>
        <v>3.1646907348259159</v>
      </c>
    </row>
    <row r="31" spans="1:2" x14ac:dyDescent="0.25">
      <c r="A31" s="8" t="s">
        <v>24</v>
      </c>
      <c r="B31" s="9">
        <f>B13*B29</f>
        <v>4.7470361022388738</v>
      </c>
    </row>
    <row r="33" spans="1:2" x14ac:dyDescent="0.25">
      <c r="A33" s="11" t="s">
        <v>7</v>
      </c>
      <c r="B33" s="12">
        <f>B31*B3</f>
        <v>47.470361022388737</v>
      </c>
    </row>
    <row r="34" spans="1:2" x14ac:dyDescent="0.25">
      <c r="A34" s="8" t="s">
        <v>29</v>
      </c>
      <c r="B34" s="9">
        <f>B33*0.84*0.3048</f>
        <v>12.153931473284233</v>
      </c>
    </row>
    <row r="35" spans="1:2" ht="17.25" x14ac:dyDescent="0.25">
      <c r="A35" s="13" t="s">
        <v>30</v>
      </c>
      <c r="B35" s="9">
        <f>PI()*B34^2</f>
        <v>464.06994149090718</v>
      </c>
    </row>
    <row r="36" spans="1:2" x14ac:dyDescent="0.25">
      <c r="A36" s="14" t="s">
        <v>31</v>
      </c>
      <c r="B36" s="15">
        <v>9.8281441373388834</v>
      </c>
    </row>
    <row r="37" spans="1:2" x14ac:dyDescent="0.25">
      <c r="A37" s="14" t="s">
        <v>32</v>
      </c>
      <c r="B37" s="15">
        <f>B36*0.82</f>
        <v>8.0590781926178838</v>
      </c>
    </row>
    <row r="38" spans="1:2" x14ac:dyDescent="0.25">
      <c r="A38" s="14" t="s">
        <v>33</v>
      </c>
      <c r="B38" s="15">
        <v>0.2</v>
      </c>
    </row>
    <row r="39" spans="1:2" x14ac:dyDescent="0.25">
      <c r="A39" s="14" t="s">
        <v>35</v>
      </c>
      <c r="B39" s="15">
        <f>B37*B38</f>
        <v>1.6118156385235769</v>
      </c>
    </row>
    <row r="40" spans="1:2" x14ac:dyDescent="0.25">
      <c r="A40" s="14" t="s">
        <v>26</v>
      </c>
      <c r="B40" s="15">
        <v>1</v>
      </c>
    </row>
    <row r="41" spans="1:2" x14ac:dyDescent="0.25">
      <c r="A41" s="14" t="s">
        <v>27</v>
      </c>
      <c r="B41" s="15">
        <f>B39*B40</f>
        <v>1.6118156385235769</v>
      </c>
    </row>
    <row r="42" spans="1:2" x14ac:dyDescent="0.25">
      <c r="A42" s="13" t="s">
        <v>28</v>
      </c>
      <c r="B42" s="9">
        <f>10^(1.325132+0.592471*LOG(B41))</f>
        <v>28.051774670604765</v>
      </c>
    </row>
    <row r="43" spans="1:2" x14ac:dyDescent="0.25">
      <c r="A43" s="13" t="s">
        <v>34</v>
      </c>
      <c r="B43" s="9">
        <f>B42/30*17162504.3610041*0.7/10^6</f>
        <v>11.233569786090367</v>
      </c>
    </row>
  </sheetData>
  <mergeCells count="3">
    <mergeCell ref="A1:B1"/>
    <mergeCell ref="A5:B5"/>
    <mergeCell ref="A15:B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5-step</vt:lpstr>
      <vt:lpstr>1-step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2025-05-26T08:38:35Z</dcterms:created>
  <dcterms:modified xsi:type="dcterms:W3CDTF">2025-05-26T11:26:35Z</dcterms:modified>
</cp:coreProperties>
</file>