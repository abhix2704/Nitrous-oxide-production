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07C605F4-117B-4A90-854C-034A8C825A24}" xr6:coauthVersionLast="36" xr6:coauthVersionMax="36" xr10:uidLastSave="{00000000-0000-0000-0000-000000000000}"/>
  <bookViews>
    <workbookView xWindow="0" yWindow="0" windowWidth="16200" windowHeight="12105" activeTab="7" xr2:uid="{27E07CFF-33E2-45AC-A1B7-5E8839713283}"/>
  </bookViews>
  <sheets>
    <sheet name="5-step" sheetId="1" r:id="rId1"/>
    <sheet name="1-step" sheetId="2" r:id="rId2"/>
    <sheet name="AO" sheetId="3" r:id="rId3"/>
    <sheet name="storage_N2O" sheetId="5" r:id="rId4"/>
    <sheet name="transport_N2O" sheetId="9" r:id="rId5"/>
    <sheet name="benzene_N2O" sheetId="11" r:id="rId6"/>
    <sheet name="benzene_H2O2" sheetId="12" r:id="rId7"/>
    <sheet name="cumene" sheetId="13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6" i="13" l="1"/>
  <c r="B37" i="13"/>
  <c r="B39" i="13" s="1"/>
  <c r="M33" i="13"/>
  <c r="J33" i="13"/>
  <c r="G33" i="13"/>
  <c r="B17" i="13"/>
  <c r="B29" i="13" s="1"/>
  <c r="B13" i="13"/>
  <c r="B17" i="11"/>
  <c r="B23" i="11"/>
  <c r="B31" i="13" l="1"/>
  <c r="B33" i="13" s="1"/>
  <c r="B34" i="13" s="1"/>
  <c r="B35" i="13" s="1"/>
  <c r="B41" i="13"/>
  <c r="B42" i="13" s="1"/>
  <c r="B43" i="13" s="1"/>
  <c r="B47" i="13"/>
  <c r="B48" i="13" s="1"/>
  <c r="B49" i="13" s="1"/>
  <c r="B37" i="12"/>
  <c r="B39" i="12" s="1"/>
  <c r="M33" i="12"/>
  <c r="J33" i="12"/>
  <c r="G33" i="12"/>
  <c r="B46" i="12" s="1"/>
  <c r="B46" i="11"/>
  <c r="B37" i="11"/>
  <c r="B39" i="11" s="1"/>
  <c r="M33" i="11"/>
  <c r="J33" i="11"/>
  <c r="G33" i="11"/>
  <c r="B29" i="12"/>
  <c r="B31" i="12" s="1"/>
  <c r="B33" i="12" s="1"/>
  <c r="B34" i="12" s="1"/>
  <c r="B35" i="12" s="1"/>
  <c r="B17" i="12"/>
  <c r="B13" i="12"/>
  <c r="B47" i="12" l="1"/>
  <c r="B48" i="12" s="1"/>
  <c r="B49" i="12" s="1"/>
  <c r="B41" i="12"/>
  <c r="B42" i="12" s="1"/>
  <c r="B43" i="12" s="1"/>
  <c r="B41" i="11"/>
  <c r="B42" i="11" s="1"/>
  <c r="B43" i="11" s="1"/>
  <c r="B47" i="11"/>
  <c r="B48" i="11" s="1"/>
  <c r="B49" i="11" s="1"/>
  <c r="B29" i="11"/>
  <c r="B31" i="11" s="1"/>
  <c r="B13" i="11"/>
  <c r="B29" i="9"/>
  <c r="B13" i="9"/>
  <c r="B33" i="11" l="1"/>
  <c r="B34" i="11" s="1"/>
  <c r="B35" i="11" s="1"/>
  <c r="B31" i="9"/>
  <c r="B33" i="9" s="1"/>
  <c r="B34" i="9" s="1"/>
  <c r="B35" i="9" s="1"/>
  <c r="M33" i="3"/>
  <c r="J33" i="3"/>
  <c r="G33" i="3"/>
  <c r="B46" i="3"/>
  <c r="B47" i="3" s="1"/>
  <c r="B48" i="3" s="1"/>
  <c r="B49" i="3" s="1"/>
  <c r="B46" i="2"/>
  <c r="M33" i="2"/>
  <c r="J33" i="2"/>
  <c r="G33" i="2"/>
  <c r="B48" i="1"/>
  <c r="B49" i="1" s="1"/>
  <c r="B43" i="1"/>
  <c r="B42" i="1"/>
  <c r="B46" i="1"/>
  <c r="B47" i="1"/>
  <c r="M33" i="1"/>
  <c r="J33" i="1"/>
  <c r="G33" i="1"/>
  <c r="B29" i="5"/>
  <c r="B13" i="5"/>
  <c r="B31" i="5" l="1"/>
  <c r="B33" i="5" s="1"/>
  <c r="B34" i="5" s="1"/>
  <c r="B35" i="5" s="1"/>
  <c r="B23" i="3"/>
  <c r="N13" i="3"/>
  <c r="N12" i="3"/>
  <c r="N11" i="3"/>
  <c r="N10" i="3"/>
  <c r="N9" i="3"/>
  <c r="B29" i="3" l="1"/>
  <c r="B31" i="3" s="1"/>
  <c r="B23" i="1"/>
  <c r="B37" i="3"/>
  <c r="B39" i="3" s="1"/>
  <c r="B41" i="3" s="1"/>
  <c r="B42" i="3" s="1"/>
  <c r="B43" i="3" s="1"/>
  <c r="B13" i="3"/>
  <c r="B33" i="3" l="1"/>
  <c r="B34" i="3" s="1"/>
  <c r="B35" i="3" s="1"/>
  <c r="B41" i="1" l="1"/>
  <c r="B39" i="1"/>
  <c r="B37" i="2" l="1"/>
  <c r="B39" i="2" s="1"/>
  <c r="B37" i="1"/>
  <c r="B47" i="2" l="1"/>
  <c r="B48" i="2" s="1"/>
  <c r="B49" i="2" s="1"/>
  <c r="B41" i="2"/>
  <c r="B42" i="2" s="1"/>
  <c r="B43" i="2" s="1"/>
  <c r="B35" i="2"/>
  <c r="B34" i="2" l="1"/>
  <c r="B23" i="2"/>
  <c r="B29" i="1"/>
  <c r="B13" i="1"/>
  <c r="B17" i="2"/>
  <c r="B13" i="2"/>
  <c r="B29" i="2" l="1"/>
  <c r="B31" i="2" s="1"/>
  <c r="B33" i="2" s="1"/>
  <c r="B17" i="1" l="1"/>
  <c r="B31" i="1" l="1"/>
  <c r="B33" i="1" s="1"/>
  <c r="B34" i="1" s="1"/>
  <c r="B35" i="1" s="1"/>
</calcChain>
</file>

<file path=xl/sharedStrings.xml><?xml version="1.0" encoding="utf-8"?>
<sst xmlns="http://schemas.openxmlformats.org/spreadsheetml/2006/main" count="485" uniqueCount="71">
  <si>
    <t>Base factor</t>
  </si>
  <si>
    <t>Exothermic chemical reactions</t>
  </si>
  <si>
    <t>Endothermic processes</t>
  </si>
  <si>
    <t>Material handling and transfer</t>
  </si>
  <si>
    <t>Enclosed or indoor process units</t>
  </si>
  <si>
    <t>Access</t>
  </si>
  <si>
    <t>Drainage and spill control</t>
  </si>
  <si>
    <t>Fire &amp; Explosion Index</t>
  </si>
  <si>
    <t>Special process hazards</t>
  </si>
  <si>
    <t>General process hazards</t>
  </si>
  <si>
    <t>Toxic materials</t>
  </si>
  <si>
    <t>Sub-atmospheric pressure</t>
  </si>
  <si>
    <t>Operation in or near flammable range</t>
  </si>
  <si>
    <t>Dust explosion</t>
  </si>
  <si>
    <t>Pressure</t>
  </si>
  <si>
    <t>Low temperature</t>
  </si>
  <si>
    <t>Quantity of flammable/unstable material</t>
  </si>
  <si>
    <t>Corrision and erosion</t>
  </si>
  <si>
    <t>Leakage - joints and packing</t>
  </si>
  <si>
    <t>Use of fired equipment</t>
  </si>
  <si>
    <t>Hot oil heat exchange system</t>
  </si>
  <si>
    <t>Rotating equipment</t>
  </si>
  <si>
    <t>Material factor</t>
  </si>
  <si>
    <t>Appendix A</t>
  </si>
  <si>
    <t>Process units hazards factor</t>
  </si>
  <si>
    <t>Appendix A (temperature adjusted)</t>
  </si>
  <si>
    <t>Loss control credit factor</t>
  </si>
  <si>
    <t>Actual Maximum Probable Property Damage (MM$)</t>
  </si>
  <si>
    <t>Maximum Probable Days Outage</t>
  </si>
  <si>
    <t>Radius of Exposure (m)</t>
  </si>
  <si>
    <r>
      <t>Area of Exposure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</si>
  <si>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Orginal Cost (MM$)</t>
  </si>
  <si>
    <t>Replacement Value (MM$)</t>
  </si>
  <si>
    <t>Damage Factor</t>
  </si>
  <si>
    <t>Business Interruption (MM$)</t>
  </si>
  <si>
    <t>Base Maximum Probable Property Damage (MM$)</t>
  </si>
  <si>
    <t>kcal/mol</t>
  </si>
  <si>
    <t>g/mol</t>
  </si>
  <si>
    <t>kcal/g</t>
  </si>
  <si>
    <t>Btu/g</t>
  </si>
  <si>
    <t>Btu/kg</t>
  </si>
  <si>
    <t>Btu/lb</t>
  </si>
  <si>
    <t>Credit factors</t>
  </si>
  <si>
    <t>C1</t>
  </si>
  <si>
    <t>Emergency power</t>
  </si>
  <si>
    <t>Cooling</t>
  </si>
  <si>
    <t>Explosion control</t>
  </si>
  <si>
    <t>Emergency shutdown</t>
  </si>
  <si>
    <t>Computer control</t>
  </si>
  <si>
    <t>Inert gas</t>
  </si>
  <si>
    <t>Operating instructions</t>
  </si>
  <si>
    <t>Reactive chemical review</t>
  </si>
  <si>
    <t>Other process harzard analysis</t>
  </si>
  <si>
    <t>Loss control credit factor (max)</t>
  </si>
  <si>
    <t>C2</t>
  </si>
  <si>
    <t>Remote control valves</t>
  </si>
  <si>
    <t>Dump/blowdown</t>
  </si>
  <si>
    <t>Drainage</t>
  </si>
  <si>
    <t>Interlock</t>
  </si>
  <si>
    <t>C3</t>
  </si>
  <si>
    <t>Leak detection</t>
  </si>
  <si>
    <t>Structural steel</t>
  </si>
  <si>
    <t>Fire water supply</t>
  </si>
  <si>
    <t>Special systems</t>
  </si>
  <si>
    <t>Sprinkler systems</t>
  </si>
  <si>
    <t>Water curtains</t>
  </si>
  <si>
    <t>Foam</t>
  </si>
  <si>
    <t>Hand extinguishes/monitors</t>
  </si>
  <si>
    <t>Cable protection</t>
  </si>
  <si>
    <t>Nf = 0</t>
  </si>
  <si>
    <t>Nr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</si>
</sst>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2" fontId="0" fillId="0" borderId="1" xfId="0" applyNumberFormat="1" applyBorder="1"/>
    <xf numFmtId="0" fontId="1" fillId="0" borderId="1" xfId="0" applyFont="1" applyBorder="1"/>
    <xf numFmtId="2" fontId="1" fillId="0" borderId="1" xfId="0" applyNumberFormat="1" applyFont="1" applyBorder="1"/>
    <xf numFmtId="2" fontId="1" fillId="0" borderId="1" xfId="0" applyNumberFormat="1" applyFont="1" applyBorder="1" applyAlignment="1">
      <alignment horizontal="right"/>
    </xf>
    <xf numFmtId="0" fontId="1" fillId="0" borderId="1" xfId="0" applyFont="1" applyBorder="1" applyAlignment="1"/>
    <xf numFmtId="2" fontId="1" fillId="0" borderId="1" xfId="0" applyNumberFormat="1" applyFont="1" applyBorder="1" applyAlignment="1"/>
    <xf numFmtId="0" fontId="1" fillId="0" borderId="1" xfId="0" applyFont="1" applyFill="1" applyBorder="1"/>
    <xf numFmtId="0" fontId="0" fillId="0" borderId="1" xfId="0" applyFont="1" applyFill="1" applyBorder="1"/>
    <xf numFmtId="2" fontId="0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Font="1" applyBorder="1"/>
    <xf numFmtId="1" fontId="1" fillId="0" borderId="1" xfId="0" applyNumberFormat="1" applyFont="1" applyBorder="1" applyAlignment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/>
    <xf numFmtId="1" fontId="0" fillId="0" borderId="1" xfId="0" applyNumberFormat="1" applyFont="1" applyBorder="1"/>
    <xf numFmtId="1" fontId="1" fillId="0" borderId="1" xfId="0" applyNumberFormat="1" applyFont="1" applyBorder="1"/>
    <xf numFmtId="164" fontId="1" fillId="0" borderId="1" xfId="0" applyNumberFormat="1" applyFont="1" applyBorder="1" applyAlignment="1">
      <alignment horizontal="right"/>
    </xf>
    <xf numFmtId="164" fontId="0" fillId="0" borderId="1" xfId="0" applyNumberFormat="1" applyBorder="1"/>
    <xf numFmtId="164" fontId="1" fillId="0" borderId="1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5DBF6-C07A-4F80-85FA-3366F951286F}">
  <dimension ref="A1:M49"/>
  <sheetViews>
    <sheetView topLeftCell="A10" workbookViewId="0">
      <selection activeCell="B47" sqref="B47"/>
    </sheetView>
  </sheetViews>
  <sheetFormatPr defaultRowHeight="15" x14ac:dyDescent="0.25"/>
  <cols>
    <col min="1" max="1" width="48" bestFit="1" customWidth="1"/>
    <col min="2" max="2" width="10.7109375" customWidth="1"/>
    <col min="6" max="6" width="17" bestFit="1" customWidth="1"/>
    <col min="9" max="9" width="21" bestFit="1" customWidth="1"/>
    <col min="10" max="10" width="5" bestFit="1" customWidth="1"/>
    <col min="12" max="12" width="26.7109375" bestFit="1" customWidth="1"/>
  </cols>
  <sheetData>
    <row r="1" spans="1:3" x14ac:dyDescent="0.25">
      <c r="A1" s="20" t="s">
        <v>7</v>
      </c>
      <c r="B1" s="20"/>
    </row>
    <row r="2" spans="1:3" x14ac:dyDescent="0.25">
      <c r="A2" s="3"/>
      <c r="B2" s="3"/>
    </row>
    <row r="3" spans="1:3" x14ac:dyDescent="0.25">
      <c r="A3" s="4" t="s">
        <v>22</v>
      </c>
      <c r="B3" s="10">
        <v>29</v>
      </c>
      <c r="C3" t="s">
        <v>23</v>
      </c>
    </row>
    <row r="4" spans="1:3" x14ac:dyDescent="0.25">
      <c r="A4" s="3"/>
      <c r="B4" s="3"/>
    </row>
    <row r="5" spans="1:3" x14ac:dyDescent="0.25">
      <c r="A5" s="20" t="s">
        <v>9</v>
      </c>
      <c r="B5" s="20"/>
    </row>
    <row r="6" spans="1:3" x14ac:dyDescent="0.25">
      <c r="A6" s="6" t="s">
        <v>0</v>
      </c>
      <c r="B6" s="7">
        <v>1</v>
      </c>
    </row>
    <row r="7" spans="1:3" x14ac:dyDescent="0.25">
      <c r="A7" s="6" t="s">
        <v>1</v>
      </c>
      <c r="B7" s="7">
        <v>1</v>
      </c>
    </row>
    <row r="8" spans="1:3" x14ac:dyDescent="0.25">
      <c r="A8" s="6" t="s">
        <v>2</v>
      </c>
      <c r="B8" s="7">
        <v>0.4</v>
      </c>
    </row>
    <row r="9" spans="1:3" x14ac:dyDescent="0.25">
      <c r="A9" s="6" t="s">
        <v>3</v>
      </c>
      <c r="B9" s="7">
        <v>0</v>
      </c>
    </row>
    <row r="10" spans="1:3" x14ac:dyDescent="0.25">
      <c r="A10" s="6" t="s">
        <v>4</v>
      </c>
      <c r="B10" s="7">
        <v>0</v>
      </c>
    </row>
    <row r="11" spans="1:3" x14ac:dyDescent="0.25">
      <c r="A11" s="6" t="s">
        <v>5</v>
      </c>
      <c r="B11" s="7">
        <v>0</v>
      </c>
    </row>
    <row r="12" spans="1:3" x14ac:dyDescent="0.25">
      <c r="A12" s="6" t="s">
        <v>6</v>
      </c>
      <c r="B12" s="7">
        <v>0</v>
      </c>
    </row>
    <row r="13" spans="1:3" x14ac:dyDescent="0.25">
      <c r="A13" s="8" t="s">
        <v>9</v>
      </c>
      <c r="B13" s="9">
        <f>SUM(B6:B12)</f>
        <v>2.4</v>
      </c>
    </row>
    <row r="14" spans="1:3" x14ac:dyDescent="0.25">
      <c r="A14" s="2"/>
      <c r="B14" s="1"/>
    </row>
    <row r="15" spans="1:3" x14ac:dyDescent="0.25">
      <c r="A15" s="20" t="s">
        <v>8</v>
      </c>
      <c r="B15" s="20"/>
    </row>
    <row r="16" spans="1:3" x14ac:dyDescent="0.25">
      <c r="A16" s="6" t="s">
        <v>0</v>
      </c>
      <c r="B16" s="7">
        <v>1</v>
      </c>
    </row>
    <row r="17" spans="1:6" x14ac:dyDescent="0.25">
      <c r="A17" s="6" t="s">
        <v>10</v>
      </c>
      <c r="B17" s="7">
        <f>0.2*0</f>
        <v>0</v>
      </c>
    </row>
    <row r="18" spans="1:6" x14ac:dyDescent="0.25">
      <c r="A18" s="6" t="s">
        <v>11</v>
      </c>
      <c r="B18" s="7">
        <v>0</v>
      </c>
    </row>
    <row r="19" spans="1:6" x14ac:dyDescent="0.25">
      <c r="A19" s="6" t="s">
        <v>12</v>
      </c>
      <c r="B19" s="7">
        <v>0</v>
      </c>
    </row>
    <row r="20" spans="1:6" x14ac:dyDescent="0.25">
      <c r="A20" s="6" t="s">
        <v>13</v>
      </c>
      <c r="B20" s="7">
        <v>0</v>
      </c>
    </row>
    <row r="21" spans="1:6" x14ac:dyDescent="0.25">
      <c r="A21" s="6" t="s">
        <v>14</v>
      </c>
      <c r="B21" s="7">
        <v>0</v>
      </c>
    </row>
    <row r="22" spans="1:6" x14ac:dyDescent="0.25">
      <c r="A22" s="6" t="s">
        <v>15</v>
      </c>
      <c r="B22" s="7">
        <v>0</v>
      </c>
    </row>
    <row r="23" spans="1:6" x14ac:dyDescent="0.25">
      <c r="A23" s="6" t="s">
        <v>16</v>
      </c>
      <c r="B23" s="7">
        <f>10^(0.280423+0.464559*LOG(2.20462*76816.9942547903*6/10^6)-0.28291*LOG(2.20462*76816.9942547903*6/10^6)^2+0.066218*LOG(2.20462*76816.9942547903*6/10^6)^3)</f>
        <v>1.9214739304102686</v>
      </c>
    </row>
    <row r="24" spans="1:6" x14ac:dyDescent="0.25">
      <c r="A24" s="6" t="s">
        <v>17</v>
      </c>
      <c r="B24" s="7">
        <v>0</v>
      </c>
    </row>
    <row r="25" spans="1:6" x14ac:dyDescent="0.25">
      <c r="A25" s="6" t="s">
        <v>18</v>
      </c>
      <c r="B25" s="7">
        <v>0</v>
      </c>
    </row>
    <row r="26" spans="1:6" x14ac:dyDescent="0.25">
      <c r="A26" s="6" t="s">
        <v>19</v>
      </c>
      <c r="B26" s="7">
        <v>0</v>
      </c>
    </row>
    <row r="27" spans="1:6" x14ac:dyDescent="0.25">
      <c r="A27" s="6" t="s">
        <v>20</v>
      </c>
      <c r="B27" s="7">
        <v>0</v>
      </c>
    </row>
    <row r="28" spans="1:6" x14ac:dyDescent="0.25">
      <c r="A28" s="6" t="s">
        <v>21</v>
      </c>
      <c r="B28" s="7">
        <v>0.5</v>
      </c>
    </row>
    <row r="29" spans="1:6" x14ac:dyDescent="0.25">
      <c r="A29" s="8" t="s">
        <v>8</v>
      </c>
      <c r="B29" s="9">
        <f>SUM(B16:B28)</f>
        <v>3.4214739304102686</v>
      </c>
    </row>
    <row r="31" spans="1:6" x14ac:dyDescent="0.25">
      <c r="A31" s="8" t="s">
        <v>24</v>
      </c>
      <c r="B31" s="9">
        <f>B13*B29</f>
        <v>8.2115374329846436</v>
      </c>
    </row>
    <row r="32" spans="1:6" x14ac:dyDescent="0.25">
      <c r="F32" t="s">
        <v>42</v>
      </c>
    </row>
    <row r="33" spans="1:13" x14ac:dyDescent="0.25">
      <c r="A33" s="11" t="s">
        <v>7</v>
      </c>
      <c r="B33" s="12">
        <f>B31*B3</f>
        <v>238.13458555655467</v>
      </c>
      <c r="F33" t="s">
        <v>43</v>
      </c>
      <c r="G33" s="1">
        <f>G34*G35*G36*G37*G38*G39*G40*G41*G42</f>
        <v>0.85058224727715992</v>
      </c>
      <c r="I33" t="s">
        <v>54</v>
      </c>
      <c r="J33" s="1">
        <f>J34*J35*J36*J37</f>
        <v>0.91295623999999986</v>
      </c>
      <c r="L33" t="s">
        <v>59</v>
      </c>
      <c r="M33" s="1">
        <f>M34*M35*M36*M37*M38*M39*M40*M41*M42</f>
        <v>0.75073553589384012</v>
      </c>
    </row>
    <row r="34" spans="1:13" x14ac:dyDescent="0.25">
      <c r="A34" s="8" t="s">
        <v>29</v>
      </c>
      <c r="B34" s="9">
        <f>B33*0.84*0.3048</f>
        <v>60.970074209215809</v>
      </c>
      <c r="F34" t="s">
        <v>44</v>
      </c>
      <c r="G34">
        <v>0.98</v>
      </c>
      <c r="I34" t="s">
        <v>55</v>
      </c>
      <c r="J34">
        <v>0.98</v>
      </c>
      <c r="L34" t="s">
        <v>60</v>
      </c>
      <c r="M34">
        <v>0.98</v>
      </c>
    </row>
    <row r="35" spans="1:13" ht="17.25" x14ac:dyDescent="0.25">
      <c r="A35" s="13" t="s">
        <v>30</v>
      </c>
      <c r="B35" s="9">
        <f>PI()*B34^2</f>
        <v>11678.399290843583</v>
      </c>
      <c r="F35" t="s">
        <v>45</v>
      </c>
      <c r="G35">
        <v>0.99</v>
      </c>
      <c r="I35" t="s">
        <v>56</v>
      </c>
      <c r="J35">
        <v>0.98</v>
      </c>
      <c r="L35" t="s">
        <v>61</v>
      </c>
      <c r="M35">
        <v>0.98</v>
      </c>
    </row>
    <row r="36" spans="1:13" x14ac:dyDescent="0.25">
      <c r="A36" s="14" t="s">
        <v>31</v>
      </c>
      <c r="B36" s="15">
        <v>41.714185454513995</v>
      </c>
      <c r="F36" t="s">
        <v>46</v>
      </c>
      <c r="G36">
        <v>0.98</v>
      </c>
      <c r="I36" t="s">
        <v>57</v>
      </c>
      <c r="J36">
        <v>0.97</v>
      </c>
      <c r="L36" t="s">
        <v>62</v>
      </c>
      <c r="M36">
        <v>0.97</v>
      </c>
    </row>
    <row r="37" spans="1:13" x14ac:dyDescent="0.25">
      <c r="A37" s="14" t="s">
        <v>32</v>
      </c>
      <c r="B37" s="15">
        <f>B36*0.82</f>
        <v>34.205632072701476</v>
      </c>
      <c r="F37" t="s">
        <v>47</v>
      </c>
      <c r="G37">
        <v>0.99</v>
      </c>
      <c r="I37" t="s">
        <v>58</v>
      </c>
      <c r="J37">
        <v>0.98</v>
      </c>
      <c r="L37" t="s">
        <v>63</v>
      </c>
      <c r="M37">
        <v>0.91</v>
      </c>
    </row>
    <row r="38" spans="1:13" x14ac:dyDescent="0.25">
      <c r="A38" s="14" t="s">
        <v>33</v>
      </c>
      <c r="B38" s="15">
        <v>0.95</v>
      </c>
      <c r="F38" t="s">
        <v>48</v>
      </c>
      <c r="G38">
        <v>0.99</v>
      </c>
      <c r="L38" t="s">
        <v>64</v>
      </c>
      <c r="M38">
        <v>0.97</v>
      </c>
    </row>
    <row r="39" spans="1:13" x14ac:dyDescent="0.25">
      <c r="A39" s="14" t="s">
        <v>35</v>
      </c>
      <c r="B39" s="15">
        <f>B37*B38</f>
        <v>32.495350469066402</v>
      </c>
      <c r="F39" t="s">
        <v>49</v>
      </c>
      <c r="G39">
        <v>0.96</v>
      </c>
      <c r="L39" t="s">
        <v>65</v>
      </c>
      <c r="M39">
        <v>0.98</v>
      </c>
    </row>
    <row r="40" spans="1:13" x14ac:dyDescent="0.25">
      <c r="A40" s="14" t="s">
        <v>53</v>
      </c>
      <c r="B40" s="15">
        <v>1</v>
      </c>
      <c r="F40" t="s">
        <v>50</v>
      </c>
      <c r="G40">
        <v>0.99</v>
      </c>
      <c r="L40" t="s">
        <v>66</v>
      </c>
      <c r="M40">
        <v>0.97</v>
      </c>
    </row>
    <row r="41" spans="1:13" x14ac:dyDescent="0.25">
      <c r="A41" s="14" t="s">
        <v>27</v>
      </c>
      <c r="B41" s="15">
        <f>B39*B40</f>
        <v>32.495350469066402</v>
      </c>
      <c r="F41" t="s">
        <v>51</v>
      </c>
      <c r="G41">
        <v>0.98</v>
      </c>
      <c r="L41" t="s">
        <v>67</v>
      </c>
      <c r="M41">
        <v>0.98</v>
      </c>
    </row>
    <row r="42" spans="1:13" x14ac:dyDescent="0.25">
      <c r="A42" s="13" t="s">
        <v>28</v>
      </c>
      <c r="B42" s="9">
        <f>10^(1.325132+0.592471*LOG(B41))</f>
        <v>166.28084896025334</v>
      </c>
      <c r="F42" t="s">
        <v>52</v>
      </c>
      <c r="G42">
        <v>0.98</v>
      </c>
      <c r="L42" t="s">
        <v>68</v>
      </c>
      <c r="M42">
        <v>0.98</v>
      </c>
    </row>
    <row r="43" spans="1:13" x14ac:dyDescent="0.25">
      <c r="A43" s="13" t="s">
        <v>34</v>
      </c>
      <c r="B43" s="9">
        <f>B42/30*22841424.5645393*0.7/10^6</f>
        <v>88.622134254574178</v>
      </c>
    </row>
    <row r="46" spans="1:13" x14ac:dyDescent="0.25">
      <c r="A46" s="14" t="s">
        <v>53</v>
      </c>
      <c r="B46" s="22">
        <f>G33*J33*M33</f>
        <v>0.58297945397118356</v>
      </c>
    </row>
    <row r="47" spans="1:13" x14ac:dyDescent="0.25">
      <c r="A47" s="14" t="s">
        <v>27</v>
      </c>
      <c r="B47" s="22">
        <f>B39*B46</f>
        <v>18.944121673058575</v>
      </c>
    </row>
    <row r="48" spans="1:13" x14ac:dyDescent="0.25">
      <c r="A48" s="13" t="s">
        <v>28</v>
      </c>
      <c r="B48" s="23">
        <f>10^(1.325132+0.592471*LOG(B47))</f>
        <v>120.7809884090839</v>
      </c>
    </row>
    <row r="49" spans="1:2" x14ac:dyDescent="0.25">
      <c r="A49" s="13" t="s">
        <v>34</v>
      </c>
      <c r="B49" s="23">
        <f>B48/30*22841424.5645393*0.7/10^6</f>
        <v>64.372229496786986</v>
      </c>
    </row>
  </sheetData>
  <mergeCells count="3">
    <mergeCell ref="A5:B5"/>
    <mergeCell ref="A1:B1"/>
    <mergeCell ref="A15:B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637B7-417A-41EB-BD1C-082C8FD22B0D}">
  <dimension ref="A1:M49"/>
  <sheetViews>
    <sheetView workbookViewId="0">
      <selection activeCell="E49" sqref="E49"/>
    </sheetView>
  </sheetViews>
  <sheetFormatPr defaultRowHeight="15" x14ac:dyDescent="0.25"/>
  <cols>
    <col min="1" max="1" width="48" bestFit="1" customWidth="1"/>
    <col min="2" max="2" width="10.7109375" customWidth="1"/>
    <col min="6" max="6" width="28.28515625" bestFit="1" customWidth="1"/>
    <col min="7" max="7" width="5" bestFit="1" customWidth="1"/>
    <col min="9" max="9" width="21" bestFit="1" customWidth="1"/>
    <col min="10" max="10" width="5" bestFit="1" customWidth="1"/>
    <col min="12" max="12" width="26.7109375" bestFit="1" customWidth="1"/>
    <col min="13" max="13" width="5" bestFit="1" customWidth="1"/>
  </cols>
  <sheetData>
    <row r="1" spans="1:3" x14ac:dyDescent="0.25">
      <c r="A1" s="20" t="s">
        <v>7</v>
      </c>
      <c r="B1" s="20"/>
    </row>
    <row r="2" spans="1:3" x14ac:dyDescent="0.25">
      <c r="A2" s="3"/>
      <c r="B2" s="3"/>
    </row>
    <row r="3" spans="1:3" x14ac:dyDescent="0.25">
      <c r="A3" s="4" t="s">
        <v>22</v>
      </c>
      <c r="B3" s="10">
        <v>10</v>
      </c>
      <c r="C3" t="s">
        <v>25</v>
      </c>
    </row>
    <row r="4" spans="1:3" x14ac:dyDescent="0.25">
      <c r="A4" s="3"/>
      <c r="B4" s="3"/>
    </row>
    <row r="5" spans="1:3" x14ac:dyDescent="0.25">
      <c r="A5" s="20" t="s">
        <v>9</v>
      </c>
      <c r="B5" s="20"/>
    </row>
    <row r="6" spans="1:3" x14ac:dyDescent="0.25">
      <c r="A6" s="6" t="s">
        <v>0</v>
      </c>
      <c r="B6" s="7">
        <v>1</v>
      </c>
    </row>
    <row r="7" spans="1:3" x14ac:dyDescent="0.25">
      <c r="A7" s="6" t="s">
        <v>1</v>
      </c>
      <c r="B7" s="7">
        <v>0.5</v>
      </c>
    </row>
    <row r="8" spans="1:3" x14ac:dyDescent="0.25">
      <c r="A8" s="6" t="s">
        <v>2</v>
      </c>
      <c r="B8" s="7">
        <v>0</v>
      </c>
    </row>
    <row r="9" spans="1:3" x14ac:dyDescent="0.25">
      <c r="A9" s="6" t="s">
        <v>3</v>
      </c>
      <c r="B9" s="7">
        <v>0</v>
      </c>
    </row>
    <row r="10" spans="1:3" x14ac:dyDescent="0.25">
      <c r="A10" s="6" t="s">
        <v>4</v>
      </c>
      <c r="B10" s="7">
        <v>0</v>
      </c>
    </row>
    <row r="11" spans="1:3" x14ac:dyDescent="0.25">
      <c r="A11" s="6" t="s">
        <v>5</v>
      </c>
      <c r="B11" s="7">
        <v>0</v>
      </c>
    </row>
    <row r="12" spans="1:3" x14ac:dyDescent="0.25">
      <c r="A12" s="6" t="s">
        <v>6</v>
      </c>
      <c r="B12" s="7">
        <v>0</v>
      </c>
    </row>
    <row r="13" spans="1:3" x14ac:dyDescent="0.25">
      <c r="A13" s="8" t="s">
        <v>9</v>
      </c>
      <c r="B13" s="9">
        <f>SUM(B6:B12)</f>
        <v>1.5</v>
      </c>
    </row>
    <row r="14" spans="1:3" x14ac:dyDescent="0.25">
      <c r="A14" s="2"/>
      <c r="B14" s="1"/>
    </row>
    <row r="15" spans="1:3" x14ac:dyDescent="0.25">
      <c r="A15" s="20" t="s">
        <v>8</v>
      </c>
      <c r="B15" s="20"/>
    </row>
    <row r="16" spans="1:3" x14ac:dyDescent="0.25">
      <c r="A16" s="6" t="s">
        <v>0</v>
      </c>
      <c r="B16" s="7">
        <v>1</v>
      </c>
    </row>
    <row r="17" spans="1:6" x14ac:dyDescent="0.25">
      <c r="A17" s="6" t="s">
        <v>10</v>
      </c>
      <c r="B17" s="7">
        <f>0.2*3</f>
        <v>0.60000000000000009</v>
      </c>
    </row>
    <row r="18" spans="1:6" x14ac:dyDescent="0.25">
      <c r="A18" s="6" t="s">
        <v>11</v>
      </c>
      <c r="B18" s="7">
        <v>0</v>
      </c>
    </row>
    <row r="19" spans="1:6" x14ac:dyDescent="0.25">
      <c r="A19" s="6" t="s">
        <v>12</v>
      </c>
      <c r="B19" s="7">
        <v>0</v>
      </c>
    </row>
    <row r="20" spans="1:6" x14ac:dyDescent="0.25">
      <c r="A20" s="6" t="s">
        <v>13</v>
      </c>
      <c r="B20" s="7">
        <v>0</v>
      </c>
    </row>
    <row r="21" spans="1:6" x14ac:dyDescent="0.25">
      <c r="A21" s="6" t="s">
        <v>14</v>
      </c>
      <c r="B21" s="7">
        <v>0</v>
      </c>
    </row>
    <row r="22" spans="1:6" x14ac:dyDescent="0.25">
      <c r="A22" s="6" t="s">
        <v>15</v>
      </c>
      <c r="B22" s="7">
        <v>0</v>
      </c>
    </row>
    <row r="23" spans="1:6" x14ac:dyDescent="0.25">
      <c r="A23" s="6" t="s">
        <v>16</v>
      </c>
      <c r="B23" s="7">
        <f>10^(0.17179+0.42988*LOG(30690.5025481741*8000*2.20462/10^9)-0.37244*LOG(30690.5025481741*8000*2.20462/10^9)^2+0.17712*LOG(30690.5025481741*8000*2.20462/10^9)^3-0.029984*LOG(30690.5025481741*8000*2.20462/10^9)^4)</f>
        <v>1.0646907348259158</v>
      </c>
    </row>
    <row r="24" spans="1:6" x14ac:dyDescent="0.25">
      <c r="A24" s="6" t="s">
        <v>17</v>
      </c>
      <c r="B24" s="7">
        <v>0</v>
      </c>
    </row>
    <row r="25" spans="1:6" x14ac:dyDescent="0.25">
      <c r="A25" s="6" t="s">
        <v>18</v>
      </c>
      <c r="B25" s="7">
        <v>0</v>
      </c>
    </row>
    <row r="26" spans="1:6" x14ac:dyDescent="0.25">
      <c r="A26" s="6" t="s">
        <v>19</v>
      </c>
      <c r="B26" s="7">
        <v>0</v>
      </c>
    </row>
    <row r="27" spans="1:6" x14ac:dyDescent="0.25">
      <c r="A27" s="6" t="s">
        <v>20</v>
      </c>
      <c r="B27" s="7">
        <v>0</v>
      </c>
    </row>
    <row r="28" spans="1:6" x14ac:dyDescent="0.25">
      <c r="A28" s="6" t="s">
        <v>21</v>
      </c>
      <c r="B28" s="7">
        <v>0.5</v>
      </c>
    </row>
    <row r="29" spans="1:6" x14ac:dyDescent="0.25">
      <c r="A29" s="8" t="s">
        <v>8</v>
      </c>
      <c r="B29" s="9">
        <f>SUM(B16:B28)</f>
        <v>3.1646907348259159</v>
      </c>
    </row>
    <row r="31" spans="1:6" x14ac:dyDescent="0.25">
      <c r="A31" s="8" t="s">
        <v>24</v>
      </c>
      <c r="B31" s="9">
        <f>B13*B29</f>
        <v>4.7470361022388738</v>
      </c>
    </row>
    <row r="32" spans="1:6" x14ac:dyDescent="0.25">
      <c r="F32" t="s">
        <v>42</v>
      </c>
    </row>
    <row r="33" spans="1:13" x14ac:dyDescent="0.25">
      <c r="A33" s="11" t="s">
        <v>7</v>
      </c>
      <c r="B33" s="19">
        <f>B31*B3</f>
        <v>47.470361022388737</v>
      </c>
      <c r="F33" t="s">
        <v>43</v>
      </c>
      <c r="G33" s="1">
        <f>G34*G35*G36*G37*G38*G39*G40*G41*G42</f>
        <v>0.85058224727715992</v>
      </c>
      <c r="I33" t="s">
        <v>54</v>
      </c>
      <c r="J33" s="1">
        <f>J34*J35*J36*J37</f>
        <v>0.91295623999999986</v>
      </c>
      <c r="L33" t="s">
        <v>59</v>
      </c>
      <c r="M33" s="1">
        <f>M34*M35*M36*M37*M38*M39*M40*M41*M42</f>
        <v>0.75073553589384012</v>
      </c>
    </row>
    <row r="34" spans="1:13" x14ac:dyDescent="0.25">
      <c r="A34" s="8" t="s">
        <v>29</v>
      </c>
      <c r="B34" s="9">
        <f>B33*0.84*0.3048</f>
        <v>12.153931473284233</v>
      </c>
      <c r="F34" t="s">
        <v>44</v>
      </c>
      <c r="G34">
        <v>0.98</v>
      </c>
      <c r="I34" t="s">
        <v>55</v>
      </c>
      <c r="J34">
        <v>0.98</v>
      </c>
      <c r="L34" t="s">
        <v>60</v>
      </c>
      <c r="M34">
        <v>0.98</v>
      </c>
    </row>
    <row r="35" spans="1:13" ht="17.25" x14ac:dyDescent="0.25">
      <c r="A35" s="13" t="s">
        <v>30</v>
      </c>
      <c r="B35" s="9">
        <f>PI()*B34^2</f>
        <v>464.06994149090718</v>
      </c>
      <c r="F35" t="s">
        <v>45</v>
      </c>
      <c r="G35">
        <v>0.99</v>
      </c>
      <c r="I35" t="s">
        <v>56</v>
      </c>
      <c r="J35">
        <v>0.98</v>
      </c>
      <c r="L35" t="s">
        <v>61</v>
      </c>
      <c r="M35">
        <v>0.98</v>
      </c>
    </row>
    <row r="36" spans="1:13" x14ac:dyDescent="0.25">
      <c r="A36" s="14" t="s">
        <v>31</v>
      </c>
      <c r="B36" s="15">
        <v>9.8281441373388834</v>
      </c>
      <c r="F36" t="s">
        <v>46</v>
      </c>
      <c r="G36">
        <v>0.98</v>
      </c>
      <c r="I36" t="s">
        <v>57</v>
      </c>
      <c r="J36">
        <v>0.97</v>
      </c>
      <c r="L36" t="s">
        <v>62</v>
      </c>
      <c r="M36">
        <v>0.97</v>
      </c>
    </row>
    <row r="37" spans="1:13" x14ac:dyDescent="0.25">
      <c r="A37" s="14" t="s">
        <v>32</v>
      </c>
      <c r="B37" s="15">
        <f>B36*0.82</f>
        <v>8.0590781926178838</v>
      </c>
      <c r="F37" t="s">
        <v>47</v>
      </c>
      <c r="G37">
        <v>0.99</v>
      </c>
      <c r="I37" t="s">
        <v>58</v>
      </c>
      <c r="J37">
        <v>0.98</v>
      </c>
      <c r="L37" t="s">
        <v>63</v>
      </c>
      <c r="M37">
        <v>0.91</v>
      </c>
    </row>
    <row r="38" spans="1:13" x14ac:dyDescent="0.25">
      <c r="A38" s="14" t="s">
        <v>33</v>
      </c>
      <c r="B38" s="15">
        <v>0.2</v>
      </c>
      <c r="F38" t="s">
        <v>48</v>
      </c>
      <c r="G38">
        <v>0.99</v>
      </c>
      <c r="L38" t="s">
        <v>64</v>
      </c>
      <c r="M38">
        <v>0.97</v>
      </c>
    </row>
    <row r="39" spans="1:13" x14ac:dyDescent="0.25">
      <c r="A39" s="14" t="s">
        <v>35</v>
      </c>
      <c r="B39" s="15">
        <f>B37*B38</f>
        <v>1.6118156385235769</v>
      </c>
      <c r="F39" t="s">
        <v>49</v>
      </c>
      <c r="G39">
        <v>0.96</v>
      </c>
      <c r="L39" t="s">
        <v>65</v>
      </c>
      <c r="M39">
        <v>0.98</v>
      </c>
    </row>
    <row r="40" spans="1:13" x14ac:dyDescent="0.25">
      <c r="A40" s="14" t="s">
        <v>26</v>
      </c>
      <c r="B40" s="15">
        <v>1</v>
      </c>
      <c r="F40" t="s">
        <v>50</v>
      </c>
      <c r="G40">
        <v>0.99</v>
      </c>
      <c r="L40" t="s">
        <v>66</v>
      </c>
      <c r="M40">
        <v>0.97</v>
      </c>
    </row>
    <row r="41" spans="1:13" x14ac:dyDescent="0.25">
      <c r="A41" s="14" t="s">
        <v>27</v>
      </c>
      <c r="B41" s="18">
        <f>B39*B40</f>
        <v>1.6118156385235769</v>
      </c>
      <c r="F41" t="s">
        <v>51</v>
      </c>
      <c r="G41">
        <v>0.98</v>
      </c>
      <c r="L41" t="s">
        <v>67</v>
      </c>
      <c r="M41">
        <v>0.98</v>
      </c>
    </row>
    <row r="42" spans="1:13" x14ac:dyDescent="0.25">
      <c r="A42" s="13" t="s">
        <v>28</v>
      </c>
      <c r="B42" s="9">
        <f>10^(1.325132+0.592471*LOG(B41))</f>
        <v>28.051774670604765</v>
      </c>
      <c r="F42" t="s">
        <v>52</v>
      </c>
      <c r="G42">
        <v>0.98</v>
      </c>
      <c r="L42" t="s">
        <v>68</v>
      </c>
      <c r="M42">
        <v>0.98</v>
      </c>
    </row>
    <row r="43" spans="1:13" x14ac:dyDescent="0.25">
      <c r="A43" s="13" t="s">
        <v>34</v>
      </c>
      <c r="B43" s="9">
        <f>B42/30*17162504.3610041*0.7/10^6</f>
        <v>11.233569786090367</v>
      </c>
    </row>
    <row r="46" spans="1:13" x14ac:dyDescent="0.25">
      <c r="A46" s="14" t="s">
        <v>53</v>
      </c>
      <c r="B46" s="22">
        <f>G33*J33*M33</f>
        <v>0.58297945397118356</v>
      </c>
    </row>
    <row r="47" spans="1:13" x14ac:dyDescent="0.25">
      <c r="A47" s="14" t="s">
        <v>27</v>
      </c>
      <c r="B47" s="22">
        <f>B39*B46</f>
        <v>0.93965540084868948</v>
      </c>
    </row>
    <row r="48" spans="1:13" x14ac:dyDescent="0.25">
      <c r="A48" s="13" t="s">
        <v>28</v>
      </c>
      <c r="B48" s="23">
        <f>10^(1.325132+0.592471*LOG(B47))</f>
        <v>20.375894713855029</v>
      </c>
    </row>
    <row r="49" spans="1:2" x14ac:dyDescent="0.25">
      <c r="A49" s="13" t="s">
        <v>34</v>
      </c>
      <c r="B49" s="23">
        <f>B48/30*22841424.5645393*0.7/10^6</f>
        <v>10.859670780968676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490C7-F5B6-4F3C-9A3D-901209F0C3B6}">
  <dimension ref="A1:O49"/>
  <sheetViews>
    <sheetView workbookViewId="0">
      <selection activeCell="E21" sqref="E21"/>
    </sheetView>
  </sheetViews>
  <sheetFormatPr defaultRowHeight="15" x14ac:dyDescent="0.25"/>
  <cols>
    <col min="1" max="1" width="48" bestFit="1" customWidth="1"/>
    <col min="2" max="2" width="10.7109375" customWidth="1"/>
    <col min="6" max="6" width="28.28515625" bestFit="1" customWidth="1"/>
    <col min="7" max="7" width="5" bestFit="1" customWidth="1"/>
    <col min="9" max="9" width="21" bestFit="1" customWidth="1"/>
    <col min="10" max="10" width="5" bestFit="1" customWidth="1"/>
    <col min="12" max="12" width="26.7109375" bestFit="1" customWidth="1"/>
    <col min="13" max="13" width="5" bestFit="1" customWidth="1"/>
    <col min="14" max="14" width="12" bestFit="1" customWidth="1"/>
    <col min="15" max="15" width="8.7109375" bestFit="1" customWidth="1"/>
  </cols>
  <sheetData>
    <row r="1" spans="1:15" x14ac:dyDescent="0.25">
      <c r="A1" s="20" t="s">
        <v>7</v>
      </c>
      <c r="B1" s="20"/>
    </row>
    <row r="2" spans="1:15" x14ac:dyDescent="0.25">
      <c r="A2" s="3"/>
      <c r="B2" s="3"/>
    </row>
    <row r="3" spans="1:15" x14ac:dyDescent="0.25">
      <c r="A3" s="5" t="s">
        <v>22</v>
      </c>
      <c r="B3" s="10">
        <v>21</v>
      </c>
      <c r="C3" t="s">
        <v>25</v>
      </c>
    </row>
    <row r="4" spans="1:15" x14ac:dyDescent="0.25">
      <c r="A4" s="3"/>
      <c r="B4" s="3"/>
    </row>
    <row r="5" spans="1:15" x14ac:dyDescent="0.25">
      <c r="A5" s="20" t="s">
        <v>9</v>
      </c>
      <c r="B5" s="20"/>
    </row>
    <row r="6" spans="1:15" x14ac:dyDescent="0.25">
      <c r="A6" s="6" t="s">
        <v>0</v>
      </c>
      <c r="B6" s="7">
        <v>1</v>
      </c>
    </row>
    <row r="7" spans="1:15" x14ac:dyDescent="0.25">
      <c r="A7" s="6" t="s">
        <v>1</v>
      </c>
      <c r="B7" s="7">
        <v>0.5</v>
      </c>
      <c r="N7" s="1">
        <v>100</v>
      </c>
      <c r="O7" t="s">
        <v>36</v>
      </c>
    </row>
    <row r="8" spans="1:15" x14ac:dyDescent="0.25">
      <c r="A8" s="6" t="s">
        <v>2</v>
      </c>
      <c r="B8" s="7">
        <v>0</v>
      </c>
      <c r="N8" s="1">
        <v>2.016</v>
      </c>
      <c r="O8" t="s">
        <v>37</v>
      </c>
    </row>
    <row r="9" spans="1:15" x14ac:dyDescent="0.25">
      <c r="A9" s="6" t="s">
        <v>3</v>
      </c>
      <c r="B9" s="7">
        <v>0</v>
      </c>
      <c r="N9" s="1">
        <f>N7/N8</f>
        <v>49.603174603174601</v>
      </c>
      <c r="O9" t="s">
        <v>38</v>
      </c>
    </row>
    <row r="10" spans="1:15" x14ac:dyDescent="0.25">
      <c r="A10" s="6" t="s">
        <v>4</v>
      </c>
      <c r="B10" s="7">
        <v>0</v>
      </c>
      <c r="N10" s="1">
        <f>N9*3.96567</f>
        <v>196.70982142857142</v>
      </c>
      <c r="O10" t="s">
        <v>39</v>
      </c>
    </row>
    <row r="11" spans="1:15" x14ac:dyDescent="0.25">
      <c r="A11" s="6" t="s">
        <v>5</v>
      </c>
      <c r="B11" s="7">
        <v>0</v>
      </c>
      <c r="N11" s="1">
        <f>N10*1000</f>
        <v>196709.82142857142</v>
      </c>
      <c r="O11" t="s">
        <v>40</v>
      </c>
    </row>
    <row r="12" spans="1:15" x14ac:dyDescent="0.25">
      <c r="A12" s="6" t="s">
        <v>6</v>
      </c>
      <c r="B12" s="7">
        <v>0</v>
      </c>
      <c r="N12">
        <f>N11/2.20462</f>
        <v>89226.180216350869</v>
      </c>
      <c r="O12" t="s">
        <v>41</v>
      </c>
    </row>
    <row r="13" spans="1:15" x14ac:dyDescent="0.25">
      <c r="A13" s="8" t="s">
        <v>9</v>
      </c>
      <c r="B13" s="9">
        <f>SUM(B6:B12)</f>
        <v>1.5</v>
      </c>
      <c r="N13">
        <f>N12*6</f>
        <v>535357.08129810519</v>
      </c>
      <c r="O13" t="s">
        <v>41</v>
      </c>
    </row>
    <row r="14" spans="1:15" x14ac:dyDescent="0.25">
      <c r="A14" s="2"/>
      <c r="B14" s="1"/>
    </row>
    <row r="15" spans="1:15" x14ac:dyDescent="0.25">
      <c r="A15" s="20" t="s">
        <v>8</v>
      </c>
      <c r="B15" s="20"/>
    </row>
    <row r="16" spans="1:15" x14ac:dyDescent="0.25">
      <c r="A16" s="6" t="s">
        <v>0</v>
      </c>
      <c r="B16" s="7">
        <v>1</v>
      </c>
    </row>
    <row r="17" spans="1:6" x14ac:dyDescent="0.25">
      <c r="A17" s="6" t="s">
        <v>10</v>
      </c>
      <c r="B17" s="7">
        <v>0</v>
      </c>
    </row>
    <row r="18" spans="1:6" x14ac:dyDescent="0.25">
      <c r="A18" s="6" t="s">
        <v>11</v>
      </c>
      <c r="B18" s="7">
        <v>0</v>
      </c>
    </row>
    <row r="19" spans="1:6" x14ac:dyDescent="0.25">
      <c r="A19" s="6" t="s">
        <v>12</v>
      </c>
      <c r="B19" s="7">
        <v>0</v>
      </c>
    </row>
    <row r="20" spans="1:6" x14ac:dyDescent="0.25">
      <c r="A20" s="6" t="s">
        <v>13</v>
      </c>
      <c r="B20" s="7">
        <v>0</v>
      </c>
    </row>
    <row r="21" spans="1:6" x14ac:dyDescent="0.25">
      <c r="A21" s="6" t="s">
        <v>14</v>
      </c>
      <c r="B21" s="7">
        <v>0</v>
      </c>
    </row>
    <row r="22" spans="1:6" x14ac:dyDescent="0.25">
      <c r="A22" s="6" t="s">
        <v>15</v>
      </c>
      <c r="B22" s="7">
        <v>0</v>
      </c>
    </row>
    <row r="23" spans="1:6" x14ac:dyDescent="0.25">
      <c r="A23" s="6" t="s">
        <v>16</v>
      </c>
      <c r="B23" s="7">
        <f>10^(0.17179+0.42988*LOG(2469.37499350752*N13*2.20462/10^9)-0.37244*LOG(2469.37499350752*N13*2.20462/10^9)^2+0.17712*LOG(2469.37499350752*N13*2.20462/10^9)^3-0.029984*LOG(2469.37499350752*N13*2.20462/10^9)^4)</f>
        <v>2.0299192462244537</v>
      </c>
    </row>
    <row r="24" spans="1:6" x14ac:dyDescent="0.25">
      <c r="A24" s="6" t="s">
        <v>17</v>
      </c>
      <c r="B24" s="7">
        <v>0</v>
      </c>
    </row>
    <row r="25" spans="1:6" x14ac:dyDescent="0.25">
      <c r="A25" s="6" t="s">
        <v>18</v>
      </c>
      <c r="B25" s="7">
        <v>0</v>
      </c>
    </row>
    <row r="26" spans="1:6" x14ac:dyDescent="0.25">
      <c r="A26" s="6" t="s">
        <v>19</v>
      </c>
      <c r="B26" s="7">
        <v>0</v>
      </c>
    </row>
    <row r="27" spans="1:6" x14ac:dyDescent="0.25">
      <c r="A27" s="6" t="s">
        <v>20</v>
      </c>
      <c r="B27" s="7">
        <v>0</v>
      </c>
    </row>
    <row r="28" spans="1:6" x14ac:dyDescent="0.25">
      <c r="A28" s="6" t="s">
        <v>21</v>
      </c>
      <c r="B28" s="7">
        <v>0.5</v>
      </c>
    </row>
    <row r="29" spans="1:6" x14ac:dyDescent="0.25">
      <c r="A29" s="8" t="s">
        <v>8</v>
      </c>
      <c r="B29" s="9">
        <f>SUM(B16:B28)</f>
        <v>3.5299192462244537</v>
      </c>
    </row>
    <row r="31" spans="1:6" x14ac:dyDescent="0.25">
      <c r="A31" s="8" t="s">
        <v>24</v>
      </c>
      <c r="B31" s="9">
        <f>B13*B29</f>
        <v>5.2948788693366806</v>
      </c>
    </row>
    <row r="32" spans="1:6" x14ac:dyDescent="0.25">
      <c r="F32" t="s">
        <v>42</v>
      </c>
    </row>
    <row r="33" spans="1:13" x14ac:dyDescent="0.25">
      <c r="A33" s="11" t="s">
        <v>7</v>
      </c>
      <c r="B33" s="19">
        <f>B31*B3</f>
        <v>111.19245625607029</v>
      </c>
      <c r="F33" t="s">
        <v>43</v>
      </c>
      <c r="G33" s="1">
        <f>G34*G35*G36*G37*G38*G39*G40*G41*G42</f>
        <v>0.85058224727715992</v>
      </c>
      <c r="I33" t="s">
        <v>54</v>
      </c>
      <c r="J33" s="1">
        <f>J34*J35*J36*J37</f>
        <v>0.91295623999999986</v>
      </c>
      <c r="L33" t="s">
        <v>59</v>
      </c>
      <c r="M33" s="1">
        <f>M34*M35*M36*M37*M38*M39*M40*M41*M42</f>
        <v>0.75073553589384012</v>
      </c>
    </row>
    <row r="34" spans="1:13" x14ac:dyDescent="0.25">
      <c r="A34" s="8" t="s">
        <v>29</v>
      </c>
      <c r="B34" s="9">
        <f>B33*0.84*0.3048</f>
        <v>28.468826960154189</v>
      </c>
      <c r="F34" t="s">
        <v>44</v>
      </c>
      <c r="G34">
        <v>0.98</v>
      </c>
      <c r="I34" t="s">
        <v>55</v>
      </c>
      <c r="J34">
        <v>0.98</v>
      </c>
      <c r="L34" t="s">
        <v>60</v>
      </c>
      <c r="M34">
        <v>0.98</v>
      </c>
    </row>
    <row r="35" spans="1:13" ht="17.25" x14ac:dyDescent="0.25">
      <c r="A35" s="13" t="s">
        <v>30</v>
      </c>
      <c r="B35" s="9">
        <f>PI()*B34^2</f>
        <v>2546.1795051481308</v>
      </c>
      <c r="F35" t="s">
        <v>45</v>
      </c>
      <c r="G35">
        <v>0.99</v>
      </c>
      <c r="I35" t="s">
        <v>56</v>
      </c>
      <c r="J35">
        <v>0.98</v>
      </c>
      <c r="L35" t="s">
        <v>61</v>
      </c>
      <c r="M35">
        <v>0.98</v>
      </c>
    </row>
    <row r="36" spans="1:13" x14ac:dyDescent="0.25">
      <c r="A36" s="14" t="s">
        <v>31</v>
      </c>
      <c r="B36" s="15">
        <v>10.943213148596207</v>
      </c>
      <c r="F36" t="s">
        <v>46</v>
      </c>
      <c r="G36">
        <v>0.98</v>
      </c>
      <c r="I36" t="s">
        <v>57</v>
      </c>
      <c r="J36">
        <v>0.97</v>
      </c>
      <c r="L36" t="s">
        <v>62</v>
      </c>
      <c r="M36">
        <v>0.97</v>
      </c>
    </row>
    <row r="37" spans="1:13" x14ac:dyDescent="0.25">
      <c r="A37" s="14" t="s">
        <v>32</v>
      </c>
      <c r="B37" s="15">
        <f>B36*0.82</f>
        <v>8.9734347818488889</v>
      </c>
      <c r="F37" t="s">
        <v>47</v>
      </c>
      <c r="G37">
        <v>0.99</v>
      </c>
      <c r="I37" t="s">
        <v>58</v>
      </c>
      <c r="J37">
        <v>0.98</v>
      </c>
      <c r="L37" t="s">
        <v>63</v>
      </c>
      <c r="M37">
        <v>0.91</v>
      </c>
    </row>
    <row r="38" spans="1:13" x14ac:dyDescent="0.25">
      <c r="A38" s="14" t="s">
        <v>33</v>
      </c>
      <c r="B38" s="15">
        <v>0.2</v>
      </c>
      <c r="F38" t="s">
        <v>48</v>
      </c>
      <c r="G38">
        <v>0.99</v>
      </c>
      <c r="L38" t="s">
        <v>64</v>
      </c>
      <c r="M38">
        <v>0.97</v>
      </c>
    </row>
    <row r="39" spans="1:13" x14ac:dyDescent="0.25">
      <c r="A39" s="14" t="s">
        <v>35</v>
      </c>
      <c r="B39" s="15">
        <f>B37*B38</f>
        <v>1.7946869563697778</v>
      </c>
      <c r="F39" t="s">
        <v>49</v>
      </c>
      <c r="G39">
        <v>0.96</v>
      </c>
      <c r="L39" t="s">
        <v>65</v>
      </c>
      <c r="M39">
        <v>0.98</v>
      </c>
    </row>
    <row r="40" spans="1:13" x14ac:dyDescent="0.25">
      <c r="A40" s="14" t="s">
        <v>26</v>
      </c>
      <c r="B40" s="15">
        <v>1</v>
      </c>
      <c r="F40" t="s">
        <v>50</v>
      </c>
      <c r="G40">
        <v>0.99</v>
      </c>
      <c r="L40" t="s">
        <v>66</v>
      </c>
      <c r="M40">
        <v>0.97</v>
      </c>
    </row>
    <row r="41" spans="1:13" x14ac:dyDescent="0.25">
      <c r="A41" s="14" t="s">
        <v>27</v>
      </c>
      <c r="B41" s="15">
        <f>B39*B40</f>
        <v>1.7946869563697778</v>
      </c>
      <c r="F41" t="s">
        <v>51</v>
      </c>
      <c r="G41">
        <v>0.98</v>
      </c>
      <c r="L41" t="s">
        <v>67</v>
      </c>
      <c r="M41">
        <v>0.98</v>
      </c>
    </row>
    <row r="42" spans="1:13" x14ac:dyDescent="0.25">
      <c r="A42" s="13" t="s">
        <v>28</v>
      </c>
      <c r="B42" s="9">
        <f>10^(1.325132+0.592471*LOG(B41))</f>
        <v>29.895990227273522</v>
      </c>
      <c r="F42" t="s">
        <v>52</v>
      </c>
      <c r="G42">
        <v>0.98</v>
      </c>
      <c r="L42" t="s">
        <v>68</v>
      </c>
      <c r="M42">
        <v>0.98</v>
      </c>
    </row>
    <row r="43" spans="1:13" x14ac:dyDescent="0.25">
      <c r="A43" s="13" t="s">
        <v>34</v>
      </c>
      <c r="B43" s="9">
        <f>B42/30*17162504.3610041*0.7/10^6</f>
        <v>11.972101461882747</v>
      </c>
    </row>
    <row r="46" spans="1:13" x14ac:dyDescent="0.25">
      <c r="A46" s="14" t="s">
        <v>53</v>
      </c>
      <c r="B46" s="22">
        <f>G33*J33*M33</f>
        <v>0.58297945397118356</v>
      </c>
    </row>
    <row r="47" spans="1:13" x14ac:dyDescent="0.25">
      <c r="A47" s="14" t="s">
        <v>27</v>
      </c>
      <c r="B47" s="22">
        <f>B39*B46</f>
        <v>1.0462656218736583</v>
      </c>
    </row>
    <row r="48" spans="1:13" x14ac:dyDescent="0.25">
      <c r="A48" s="13" t="s">
        <v>28</v>
      </c>
      <c r="B48" s="23">
        <f>10^(1.325132+0.592471*LOG(B47))</f>
        <v>21.715472778116098</v>
      </c>
    </row>
    <row r="49" spans="1:2" x14ac:dyDescent="0.25">
      <c r="A49" s="13" t="s">
        <v>34</v>
      </c>
      <c r="B49" s="23">
        <f>B48/30*22841424.5645393*0.7/10^6</f>
        <v>11.573621111375061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DBBFE-D939-4A99-9993-41CA63A61D3C}">
  <dimension ref="A1:G35"/>
  <sheetViews>
    <sheetView workbookViewId="0">
      <selection activeCell="B53" sqref="B53"/>
    </sheetView>
  </sheetViews>
  <sheetFormatPr defaultRowHeight="15" x14ac:dyDescent="0.25"/>
  <cols>
    <col min="1" max="1" width="48" bestFit="1" customWidth="1"/>
    <col min="2" max="2" width="10.7109375" customWidth="1"/>
  </cols>
  <sheetData>
    <row r="1" spans="1:7" x14ac:dyDescent="0.25">
      <c r="A1" s="20" t="s">
        <v>7</v>
      </c>
      <c r="B1" s="20"/>
    </row>
    <row r="2" spans="1:7" x14ac:dyDescent="0.25">
      <c r="A2" s="3"/>
      <c r="B2" s="3"/>
    </row>
    <row r="3" spans="1:7" x14ac:dyDescent="0.25">
      <c r="A3" s="16" t="s">
        <v>22</v>
      </c>
      <c r="B3" s="24">
        <v>14</v>
      </c>
      <c r="G3" t="s">
        <v>70</v>
      </c>
    </row>
    <row r="4" spans="1:7" x14ac:dyDescent="0.25">
      <c r="A4" s="3"/>
      <c r="B4" s="3"/>
      <c r="G4" t="s">
        <v>69</v>
      </c>
    </row>
    <row r="5" spans="1:7" x14ac:dyDescent="0.25">
      <c r="A5" s="20" t="s">
        <v>9</v>
      </c>
      <c r="B5" s="20"/>
    </row>
    <row r="6" spans="1:7" x14ac:dyDescent="0.25">
      <c r="A6" s="6" t="s">
        <v>0</v>
      </c>
      <c r="B6" s="25">
        <v>1</v>
      </c>
    </row>
    <row r="7" spans="1:7" x14ac:dyDescent="0.25">
      <c r="A7" s="6" t="s">
        <v>1</v>
      </c>
      <c r="B7" s="25">
        <v>0</v>
      </c>
    </row>
    <row r="8" spans="1:7" x14ac:dyDescent="0.25">
      <c r="A8" s="6" t="s">
        <v>2</v>
      </c>
      <c r="B8" s="25">
        <v>0</v>
      </c>
    </row>
    <row r="9" spans="1:7" x14ac:dyDescent="0.25">
      <c r="A9" s="6" t="s">
        <v>3</v>
      </c>
      <c r="B9" s="25">
        <v>0</v>
      </c>
    </row>
    <row r="10" spans="1:7" x14ac:dyDescent="0.25">
      <c r="A10" s="6" t="s">
        <v>4</v>
      </c>
      <c r="B10" s="25">
        <v>0</v>
      </c>
    </row>
    <row r="11" spans="1:7" x14ac:dyDescent="0.25">
      <c r="A11" s="6" t="s">
        <v>5</v>
      </c>
      <c r="B11" s="25">
        <v>0</v>
      </c>
    </row>
    <row r="12" spans="1:7" x14ac:dyDescent="0.25">
      <c r="A12" s="6" t="s">
        <v>6</v>
      </c>
      <c r="B12" s="25">
        <v>0</v>
      </c>
    </row>
    <row r="13" spans="1:7" x14ac:dyDescent="0.25">
      <c r="A13" s="8" t="s">
        <v>9</v>
      </c>
      <c r="B13" s="21">
        <f>SUM(B6:B12)</f>
        <v>1</v>
      </c>
    </row>
    <row r="14" spans="1:7" x14ac:dyDescent="0.25">
      <c r="A14" s="2"/>
      <c r="B14" s="1"/>
    </row>
    <row r="15" spans="1:7" x14ac:dyDescent="0.25">
      <c r="A15" s="20" t="s">
        <v>8</v>
      </c>
      <c r="B15" s="20"/>
    </row>
    <row r="16" spans="1:7" x14ac:dyDescent="0.25">
      <c r="A16" s="6" t="s">
        <v>0</v>
      </c>
      <c r="B16" s="25">
        <v>1</v>
      </c>
    </row>
    <row r="17" spans="1:2" x14ac:dyDescent="0.25">
      <c r="A17" s="6" t="s">
        <v>10</v>
      </c>
      <c r="B17" s="25">
        <v>0.2</v>
      </c>
    </row>
    <row r="18" spans="1:2" x14ac:dyDescent="0.25">
      <c r="A18" s="6" t="s">
        <v>11</v>
      </c>
      <c r="B18" s="25">
        <v>0</v>
      </c>
    </row>
    <row r="19" spans="1:2" x14ac:dyDescent="0.25">
      <c r="A19" s="6" t="s">
        <v>12</v>
      </c>
      <c r="B19" s="25">
        <v>0</v>
      </c>
    </row>
    <row r="20" spans="1:2" x14ac:dyDescent="0.25">
      <c r="A20" s="6" t="s">
        <v>13</v>
      </c>
      <c r="B20" s="25">
        <v>0</v>
      </c>
    </row>
    <row r="21" spans="1:2" x14ac:dyDescent="0.25">
      <c r="A21" s="6" t="s">
        <v>14</v>
      </c>
      <c r="B21" s="25">
        <v>0.9</v>
      </c>
    </row>
    <row r="22" spans="1:2" x14ac:dyDescent="0.25">
      <c r="A22" s="6" t="s">
        <v>15</v>
      </c>
      <c r="B22" s="25">
        <v>0</v>
      </c>
    </row>
    <row r="23" spans="1:2" x14ac:dyDescent="0.25">
      <c r="A23" s="6" t="s">
        <v>16</v>
      </c>
      <c r="B23" s="25">
        <v>0</v>
      </c>
    </row>
    <row r="24" spans="1:2" x14ac:dyDescent="0.25">
      <c r="A24" s="6" t="s">
        <v>17</v>
      </c>
      <c r="B24" s="25">
        <v>0</v>
      </c>
    </row>
    <row r="25" spans="1:2" x14ac:dyDescent="0.25">
      <c r="A25" s="6" t="s">
        <v>18</v>
      </c>
      <c r="B25" s="25">
        <v>0.1</v>
      </c>
    </row>
    <row r="26" spans="1:2" x14ac:dyDescent="0.25">
      <c r="A26" s="6" t="s">
        <v>19</v>
      </c>
      <c r="B26" s="25">
        <v>0</v>
      </c>
    </row>
    <row r="27" spans="1:2" x14ac:dyDescent="0.25">
      <c r="A27" s="6" t="s">
        <v>20</v>
      </c>
      <c r="B27" s="25">
        <v>0</v>
      </c>
    </row>
    <row r="28" spans="1:2" x14ac:dyDescent="0.25">
      <c r="A28" s="6" t="s">
        <v>21</v>
      </c>
      <c r="B28" s="25">
        <v>0</v>
      </c>
    </row>
    <row r="29" spans="1:2" x14ac:dyDescent="0.25">
      <c r="A29" s="8" t="s">
        <v>8</v>
      </c>
      <c r="B29" s="21">
        <f>SUM(B16:B28)</f>
        <v>2.2000000000000002</v>
      </c>
    </row>
    <row r="31" spans="1:2" x14ac:dyDescent="0.25">
      <c r="A31" s="8" t="s">
        <v>24</v>
      </c>
      <c r="B31" s="21">
        <f>B13*B29</f>
        <v>2.2000000000000002</v>
      </c>
    </row>
    <row r="33" spans="1:2" x14ac:dyDescent="0.25">
      <c r="A33" s="11" t="s">
        <v>7</v>
      </c>
      <c r="B33" s="26">
        <f>B31*B3</f>
        <v>30.800000000000004</v>
      </c>
    </row>
    <row r="34" spans="1:2" x14ac:dyDescent="0.25">
      <c r="A34" s="8" t="s">
        <v>29</v>
      </c>
      <c r="B34" s="21">
        <f>B33*0.84*0.3048</f>
        <v>7.8857856000000011</v>
      </c>
    </row>
    <row r="35" spans="1:2" ht="17.25" x14ac:dyDescent="0.25">
      <c r="A35" s="13" t="s">
        <v>30</v>
      </c>
      <c r="B35" s="21">
        <f>PI()*B34^2</f>
        <v>195.36186976379892</v>
      </c>
    </row>
  </sheetData>
  <mergeCells count="3">
    <mergeCell ref="A1:B1"/>
    <mergeCell ref="A5:B5"/>
    <mergeCell ref="A15:B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4FA5-C983-4912-8C24-B653BC3C8317}">
  <dimension ref="A1:G35"/>
  <sheetViews>
    <sheetView workbookViewId="0">
      <selection activeCell="G18" sqref="G18"/>
    </sheetView>
  </sheetViews>
  <sheetFormatPr defaultRowHeight="15" x14ac:dyDescent="0.25"/>
  <cols>
    <col min="1" max="1" width="48" bestFit="1" customWidth="1"/>
    <col min="2" max="2" width="10.7109375" customWidth="1"/>
  </cols>
  <sheetData>
    <row r="1" spans="1:7" x14ac:dyDescent="0.25">
      <c r="A1" s="20" t="s">
        <v>7</v>
      </c>
      <c r="B1" s="20"/>
    </row>
    <row r="2" spans="1:7" x14ac:dyDescent="0.25">
      <c r="A2" s="3"/>
      <c r="B2" s="3"/>
    </row>
    <row r="3" spans="1:7" x14ac:dyDescent="0.25">
      <c r="A3" s="17" t="s">
        <v>22</v>
      </c>
      <c r="B3" s="24">
        <v>14</v>
      </c>
      <c r="G3" t="s">
        <v>70</v>
      </c>
    </row>
    <row r="4" spans="1:7" x14ac:dyDescent="0.25">
      <c r="A4" s="3"/>
      <c r="B4" s="3"/>
      <c r="G4" t="s">
        <v>69</v>
      </c>
    </row>
    <row r="5" spans="1:7" x14ac:dyDescent="0.25">
      <c r="A5" s="20" t="s">
        <v>9</v>
      </c>
      <c r="B5" s="20"/>
    </row>
    <row r="6" spans="1:7" x14ac:dyDescent="0.25">
      <c r="A6" s="6" t="s">
        <v>0</v>
      </c>
      <c r="B6" s="7">
        <v>1</v>
      </c>
    </row>
    <row r="7" spans="1:7" x14ac:dyDescent="0.25">
      <c r="A7" s="6" t="s">
        <v>1</v>
      </c>
      <c r="B7" s="25">
        <v>0</v>
      </c>
    </row>
    <row r="8" spans="1:7" x14ac:dyDescent="0.25">
      <c r="A8" s="6" t="s">
        <v>2</v>
      </c>
      <c r="B8" s="25">
        <v>0</v>
      </c>
    </row>
    <row r="9" spans="1:7" x14ac:dyDescent="0.25">
      <c r="A9" s="6" t="s">
        <v>3</v>
      </c>
      <c r="B9" s="25">
        <v>0</v>
      </c>
    </row>
    <row r="10" spans="1:7" x14ac:dyDescent="0.25">
      <c r="A10" s="6" t="s">
        <v>4</v>
      </c>
      <c r="B10" s="25">
        <v>0</v>
      </c>
    </row>
    <row r="11" spans="1:7" x14ac:dyDescent="0.25">
      <c r="A11" s="6" t="s">
        <v>5</v>
      </c>
      <c r="B11" s="25">
        <v>0</v>
      </c>
    </row>
    <row r="12" spans="1:7" x14ac:dyDescent="0.25">
      <c r="A12" s="6" t="s">
        <v>6</v>
      </c>
      <c r="B12" s="25">
        <v>0</v>
      </c>
    </row>
    <row r="13" spans="1:7" x14ac:dyDescent="0.25">
      <c r="A13" s="8" t="s">
        <v>9</v>
      </c>
      <c r="B13" s="21">
        <f>SUM(B6:B12)</f>
        <v>1</v>
      </c>
    </row>
    <row r="14" spans="1:7" x14ac:dyDescent="0.25">
      <c r="A14" s="2"/>
      <c r="B14" s="1"/>
    </row>
    <row r="15" spans="1:7" x14ac:dyDescent="0.25">
      <c r="A15" s="20" t="s">
        <v>8</v>
      </c>
      <c r="B15" s="20"/>
    </row>
    <row r="16" spans="1:7" x14ac:dyDescent="0.25">
      <c r="A16" s="6" t="s">
        <v>0</v>
      </c>
      <c r="B16" s="25">
        <v>1</v>
      </c>
    </row>
    <row r="17" spans="1:2" x14ac:dyDescent="0.25">
      <c r="A17" s="6" t="s">
        <v>10</v>
      </c>
      <c r="B17" s="25">
        <v>0.2</v>
      </c>
    </row>
    <row r="18" spans="1:2" x14ac:dyDescent="0.25">
      <c r="A18" s="6" t="s">
        <v>11</v>
      </c>
      <c r="B18" s="25">
        <v>0</v>
      </c>
    </row>
    <row r="19" spans="1:2" x14ac:dyDescent="0.25">
      <c r="A19" s="6" t="s">
        <v>12</v>
      </c>
      <c r="B19" s="25">
        <v>0</v>
      </c>
    </row>
    <row r="20" spans="1:2" x14ac:dyDescent="0.25">
      <c r="A20" s="6" t="s">
        <v>13</v>
      </c>
      <c r="B20" s="25">
        <v>0</v>
      </c>
    </row>
    <row r="21" spans="1:2" x14ac:dyDescent="0.25">
      <c r="A21" s="6" t="s">
        <v>14</v>
      </c>
      <c r="B21" s="25">
        <v>0.9</v>
      </c>
    </row>
    <row r="22" spans="1:2" x14ac:dyDescent="0.25">
      <c r="A22" s="6" t="s">
        <v>15</v>
      </c>
      <c r="B22" s="25">
        <v>0</v>
      </c>
    </row>
    <row r="23" spans="1:2" x14ac:dyDescent="0.25">
      <c r="A23" s="6" t="s">
        <v>16</v>
      </c>
      <c r="B23" s="25">
        <v>0</v>
      </c>
    </row>
    <row r="24" spans="1:2" x14ac:dyDescent="0.25">
      <c r="A24" s="6" t="s">
        <v>17</v>
      </c>
      <c r="B24" s="25">
        <v>0</v>
      </c>
    </row>
    <row r="25" spans="1:2" x14ac:dyDescent="0.25">
      <c r="A25" s="6" t="s">
        <v>18</v>
      </c>
      <c r="B25" s="25">
        <v>0.3</v>
      </c>
    </row>
    <row r="26" spans="1:2" x14ac:dyDescent="0.25">
      <c r="A26" s="6" t="s">
        <v>19</v>
      </c>
      <c r="B26" s="25">
        <v>0</v>
      </c>
    </row>
    <row r="27" spans="1:2" x14ac:dyDescent="0.25">
      <c r="A27" s="6" t="s">
        <v>20</v>
      </c>
      <c r="B27" s="25">
        <v>0</v>
      </c>
    </row>
    <row r="28" spans="1:2" x14ac:dyDescent="0.25">
      <c r="A28" s="6" t="s">
        <v>21</v>
      </c>
      <c r="B28" s="25">
        <v>0</v>
      </c>
    </row>
    <row r="29" spans="1:2" x14ac:dyDescent="0.25">
      <c r="A29" s="8" t="s">
        <v>8</v>
      </c>
      <c r="B29" s="21">
        <f>SUM(B16:B28)</f>
        <v>2.4</v>
      </c>
    </row>
    <row r="31" spans="1:2" x14ac:dyDescent="0.25">
      <c r="A31" s="8" t="s">
        <v>24</v>
      </c>
      <c r="B31" s="21">
        <f>B13*B29</f>
        <v>2.4</v>
      </c>
    </row>
    <row r="33" spans="1:2" x14ac:dyDescent="0.25">
      <c r="A33" s="11" t="s">
        <v>7</v>
      </c>
      <c r="B33" s="26">
        <f>B31*B3</f>
        <v>33.6</v>
      </c>
    </row>
    <row r="34" spans="1:2" x14ac:dyDescent="0.25">
      <c r="A34" s="8" t="s">
        <v>29</v>
      </c>
      <c r="B34" s="21">
        <f>B33*0.84*0.3048</f>
        <v>8.6026752000000002</v>
      </c>
    </row>
    <row r="35" spans="1:2" ht="17.25" x14ac:dyDescent="0.25">
      <c r="A35" s="13" t="s">
        <v>30</v>
      </c>
      <c r="B35" s="21">
        <f>PI()*B34^2</f>
        <v>232.49677062799205</v>
      </c>
    </row>
  </sheetData>
  <mergeCells count="3">
    <mergeCell ref="A1:B1"/>
    <mergeCell ref="A5:B5"/>
    <mergeCell ref="A15:B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DD1C8-3A48-4DEF-9C76-F9BB6E442DE1}">
  <dimension ref="A1:M49"/>
  <sheetViews>
    <sheetView workbookViewId="0">
      <selection activeCell="H10" sqref="H10"/>
    </sheetView>
  </sheetViews>
  <sheetFormatPr defaultRowHeight="15" x14ac:dyDescent="0.25"/>
  <cols>
    <col min="1" max="1" width="48" bestFit="1" customWidth="1"/>
    <col min="2" max="2" width="10.7109375" customWidth="1"/>
    <col min="6" max="6" width="17" bestFit="1" customWidth="1"/>
    <col min="9" max="9" width="21" bestFit="1" customWidth="1"/>
    <col min="10" max="10" width="5" bestFit="1" customWidth="1"/>
    <col min="12" max="12" width="26.7109375" bestFit="1" customWidth="1"/>
  </cols>
  <sheetData>
    <row r="1" spans="1:3" x14ac:dyDescent="0.25">
      <c r="A1" s="20" t="s">
        <v>7</v>
      </c>
      <c r="B1" s="20"/>
    </row>
    <row r="2" spans="1:3" x14ac:dyDescent="0.25">
      <c r="A2" s="3"/>
      <c r="B2" s="3"/>
    </row>
    <row r="3" spans="1:3" x14ac:dyDescent="0.25">
      <c r="A3" s="17" t="s">
        <v>22</v>
      </c>
      <c r="B3" s="24">
        <v>16</v>
      </c>
      <c r="C3" t="s">
        <v>23</v>
      </c>
    </row>
    <row r="4" spans="1:3" x14ac:dyDescent="0.25">
      <c r="A4" s="3"/>
      <c r="B4" s="3"/>
    </row>
    <row r="5" spans="1:3" x14ac:dyDescent="0.25">
      <c r="A5" s="20" t="s">
        <v>9</v>
      </c>
      <c r="B5" s="20"/>
    </row>
    <row r="6" spans="1:3" x14ac:dyDescent="0.25">
      <c r="A6" s="6" t="s">
        <v>0</v>
      </c>
      <c r="B6" s="25">
        <v>1</v>
      </c>
    </row>
    <row r="7" spans="1:3" x14ac:dyDescent="0.25">
      <c r="A7" s="6" t="s">
        <v>1</v>
      </c>
      <c r="B7" s="25">
        <v>1</v>
      </c>
    </row>
    <row r="8" spans="1:3" x14ac:dyDescent="0.25">
      <c r="A8" s="6" t="s">
        <v>2</v>
      </c>
      <c r="B8" s="25">
        <v>0</v>
      </c>
    </row>
    <row r="9" spans="1:3" x14ac:dyDescent="0.25">
      <c r="A9" s="6" t="s">
        <v>3</v>
      </c>
      <c r="B9" s="25">
        <v>0</v>
      </c>
    </row>
    <row r="10" spans="1:3" x14ac:dyDescent="0.25">
      <c r="A10" s="6" t="s">
        <v>4</v>
      </c>
      <c r="B10" s="25">
        <v>0</v>
      </c>
    </row>
    <row r="11" spans="1:3" x14ac:dyDescent="0.25">
      <c r="A11" s="6" t="s">
        <v>5</v>
      </c>
      <c r="B11" s="25">
        <v>0</v>
      </c>
    </row>
    <row r="12" spans="1:3" x14ac:dyDescent="0.25">
      <c r="A12" s="6" t="s">
        <v>6</v>
      </c>
      <c r="B12" s="25">
        <v>0</v>
      </c>
    </row>
    <row r="13" spans="1:3" x14ac:dyDescent="0.25">
      <c r="A13" s="8" t="s">
        <v>9</v>
      </c>
      <c r="B13" s="21">
        <f>SUM(B6:B12)</f>
        <v>2</v>
      </c>
    </row>
    <row r="14" spans="1:3" x14ac:dyDescent="0.25">
      <c r="A14" s="2"/>
      <c r="B14" s="1"/>
    </row>
    <row r="15" spans="1:3" x14ac:dyDescent="0.25">
      <c r="A15" s="20" t="s">
        <v>8</v>
      </c>
      <c r="B15" s="20"/>
    </row>
    <row r="16" spans="1:3" x14ac:dyDescent="0.25">
      <c r="A16" s="6" t="s">
        <v>0</v>
      </c>
      <c r="B16" s="25">
        <v>1</v>
      </c>
    </row>
    <row r="17" spans="1:6" x14ac:dyDescent="0.25">
      <c r="A17" s="6" t="s">
        <v>10</v>
      </c>
      <c r="B17" s="25">
        <f>0.2*2</f>
        <v>0.4</v>
      </c>
    </row>
    <row r="18" spans="1:6" x14ac:dyDescent="0.25">
      <c r="A18" s="6" t="s">
        <v>11</v>
      </c>
      <c r="B18" s="25">
        <v>0</v>
      </c>
    </row>
    <row r="19" spans="1:6" x14ac:dyDescent="0.25">
      <c r="A19" s="6" t="s">
        <v>12</v>
      </c>
      <c r="B19" s="25">
        <v>0.8</v>
      </c>
    </row>
    <row r="20" spans="1:6" x14ac:dyDescent="0.25">
      <c r="A20" s="6" t="s">
        <v>13</v>
      </c>
      <c r="B20" s="25">
        <v>0</v>
      </c>
    </row>
    <row r="21" spans="1:6" x14ac:dyDescent="0.25">
      <c r="A21" s="6" t="s">
        <v>14</v>
      </c>
      <c r="B21" s="25">
        <v>0.2</v>
      </c>
    </row>
    <row r="22" spans="1:6" x14ac:dyDescent="0.25">
      <c r="A22" s="6" t="s">
        <v>15</v>
      </c>
      <c r="B22" s="25">
        <v>0</v>
      </c>
    </row>
    <row r="23" spans="1:6" x14ac:dyDescent="0.25">
      <c r="A23" s="6" t="s">
        <v>16</v>
      </c>
      <c r="B23" s="25">
        <f>10^(0.17179+0.42988*LOG(114759*8000*2.20462/10^9)-0.37244*LOG(114759*8000*2.20462/10^9)^2+0.17712*LOG(114759*8000*2.20462/10^9)^3-0.029984*LOG(114759*8000*2.20462/10^9)^4)</f>
        <v>1.8763929595471995</v>
      </c>
    </row>
    <row r="24" spans="1:6" x14ac:dyDescent="0.25">
      <c r="A24" s="6" t="s">
        <v>17</v>
      </c>
      <c r="B24" s="25">
        <v>0.1</v>
      </c>
    </row>
    <row r="25" spans="1:6" x14ac:dyDescent="0.25">
      <c r="A25" s="6" t="s">
        <v>18</v>
      </c>
      <c r="B25" s="25">
        <v>0.1</v>
      </c>
    </row>
    <row r="26" spans="1:6" x14ac:dyDescent="0.25">
      <c r="A26" s="6" t="s">
        <v>19</v>
      </c>
      <c r="B26" s="25">
        <v>0</v>
      </c>
    </row>
    <row r="27" spans="1:6" x14ac:dyDescent="0.25">
      <c r="A27" s="6" t="s">
        <v>20</v>
      </c>
      <c r="B27" s="25">
        <v>0</v>
      </c>
    </row>
    <row r="28" spans="1:6" x14ac:dyDescent="0.25">
      <c r="A28" s="6" t="s">
        <v>21</v>
      </c>
      <c r="B28" s="25">
        <v>0.5</v>
      </c>
    </row>
    <row r="29" spans="1:6" x14ac:dyDescent="0.25">
      <c r="A29" s="8" t="s">
        <v>8</v>
      </c>
      <c r="B29" s="21">
        <f>SUM(B16:B28)</f>
        <v>4.9763929595471996</v>
      </c>
    </row>
    <row r="31" spans="1:6" x14ac:dyDescent="0.25">
      <c r="A31" s="8" t="s">
        <v>24</v>
      </c>
      <c r="B31" s="21">
        <f>B13*B29</f>
        <v>9.9527859190943992</v>
      </c>
    </row>
    <row r="32" spans="1:6" x14ac:dyDescent="0.25">
      <c r="F32" t="s">
        <v>42</v>
      </c>
    </row>
    <row r="33" spans="1:13" x14ac:dyDescent="0.25">
      <c r="A33" s="11" t="s">
        <v>7</v>
      </c>
      <c r="B33" s="26">
        <f>B31*B3</f>
        <v>159.24457470551039</v>
      </c>
      <c r="F33" t="s">
        <v>43</v>
      </c>
      <c r="G33" s="1">
        <f>G34*G35*G36*G37*G38*G39*G40*G41*G42</f>
        <v>0.85058224727715992</v>
      </c>
      <c r="I33" t="s">
        <v>54</v>
      </c>
      <c r="J33" s="1">
        <f>J34*J35*J36*J37</f>
        <v>0.91295623999999986</v>
      </c>
      <c r="L33" t="s">
        <v>59</v>
      </c>
      <c r="M33" s="1">
        <f>M34*M35*M36*M37*M38*M39*M40*M41*M42</f>
        <v>0.75073553589384012</v>
      </c>
    </row>
    <row r="34" spans="1:13" x14ac:dyDescent="0.25">
      <c r="A34" s="8" t="s">
        <v>29</v>
      </c>
      <c r="B34" s="21">
        <f>B33*0.84*0.3048</f>
        <v>40.771706951001242</v>
      </c>
      <c r="F34" t="s">
        <v>44</v>
      </c>
      <c r="G34">
        <v>0.98</v>
      </c>
      <c r="I34" t="s">
        <v>55</v>
      </c>
      <c r="J34">
        <v>0.98</v>
      </c>
      <c r="L34" t="s">
        <v>60</v>
      </c>
      <c r="M34">
        <v>0.98</v>
      </c>
    </row>
    <row r="35" spans="1:13" ht="17.25" x14ac:dyDescent="0.25">
      <c r="A35" s="13" t="s">
        <v>30</v>
      </c>
      <c r="B35" s="21">
        <f>PI()*B34^2</f>
        <v>5222.3702745396349</v>
      </c>
      <c r="F35" t="s">
        <v>45</v>
      </c>
      <c r="G35">
        <v>0.99</v>
      </c>
      <c r="I35" t="s">
        <v>56</v>
      </c>
      <c r="J35">
        <v>0.98</v>
      </c>
      <c r="L35" t="s">
        <v>61</v>
      </c>
      <c r="M35">
        <v>0.98</v>
      </c>
    </row>
    <row r="36" spans="1:13" x14ac:dyDescent="0.25">
      <c r="A36" s="14" t="s">
        <v>31</v>
      </c>
      <c r="B36" s="18">
        <v>14.18824367492957</v>
      </c>
      <c r="F36" t="s">
        <v>46</v>
      </c>
      <c r="G36">
        <v>0.98</v>
      </c>
      <c r="I36" t="s">
        <v>57</v>
      </c>
      <c r="J36">
        <v>0.97</v>
      </c>
      <c r="L36" t="s">
        <v>62</v>
      </c>
      <c r="M36">
        <v>0.97</v>
      </c>
    </row>
    <row r="37" spans="1:13" x14ac:dyDescent="0.25">
      <c r="A37" s="14" t="s">
        <v>32</v>
      </c>
      <c r="B37" s="18">
        <f>B36*0.82</f>
        <v>11.634359813442247</v>
      </c>
      <c r="F37" t="s">
        <v>47</v>
      </c>
      <c r="G37">
        <v>0.99</v>
      </c>
      <c r="I37" t="s">
        <v>58</v>
      </c>
      <c r="J37">
        <v>0.98</v>
      </c>
      <c r="L37" t="s">
        <v>63</v>
      </c>
      <c r="M37">
        <v>0.91</v>
      </c>
    </row>
    <row r="38" spans="1:13" x14ac:dyDescent="0.25">
      <c r="A38" s="14" t="s">
        <v>33</v>
      </c>
      <c r="B38" s="18">
        <v>0.95</v>
      </c>
      <c r="F38" t="s">
        <v>48</v>
      </c>
      <c r="G38">
        <v>0.99</v>
      </c>
      <c r="L38" t="s">
        <v>64</v>
      </c>
      <c r="M38">
        <v>0.97</v>
      </c>
    </row>
    <row r="39" spans="1:13" x14ac:dyDescent="0.25">
      <c r="A39" s="14" t="s">
        <v>35</v>
      </c>
      <c r="B39" s="18">
        <f>B37*B38</f>
        <v>11.052641822770134</v>
      </c>
      <c r="F39" t="s">
        <v>49</v>
      </c>
      <c r="G39">
        <v>0.96</v>
      </c>
      <c r="L39" t="s">
        <v>65</v>
      </c>
      <c r="M39">
        <v>0.98</v>
      </c>
    </row>
    <row r="40" spans="1:13" x14ac:dyDescent="0.25">
      <c r="A40" s="14" t="s">
        <v>53</v>
      </c>
      <c r="B40" s="18">
        <v>1</v>
      </c>
      <c r="F40" t="s">
        <v>50</v>
      </c>
      <c r="G40">
        <v>0.99</v>
      </c>
      <c r="L40" t="s">
        <v>66</v>
      </c>
      <c r="M40">
        <v>0.97</v>
      </c>
    </row>
    <row r="41" spans="1:13" x14ac:dyDescent="0.25">
      <c r="A41" s="14" t="s">
        <v>27</v>
      </c>
      <c r="B41" s="18">
        <f>B39*B40</f>
        <v>11.052641822770134</v>
      </c>
      <c r="F41" t="s">
        <v>51</v>
      </c>
      <c r="G41">
        <v>0.98</v>
      </c>
      <c r="L41" t="s">
        <v>67</v>
      </c>
      <c r="M41">
        <v>0.98</v>
      </c>
    </row>
    <row r="42" spans="1:13" x14ac:dyDescent="0.25">
      <c r="A42" s="13" t="s">
        <v>28</v>
      </c>
      <c r="B42" s="21">
        <f>10^(1.325132+0.592471*LOG(B41))</f>
        <v>87.771880173456864</v>
      </c>
      <c r="F42" t="s">
        <v>52</v>
      </c>
      <c r="G42">
        <v>0.98</v>
      </c>
      <c r="L42" t="s">
        <v>68</v>
      </c>
      <c r="M42">
        <v>0.98</v>
      </c>
    </row>
    <row r="43" spans="1:13" x14ac:dyDescent="0.25">
      <c r="A43" s="13" t="s">
        <v>34</v>
      </c>
      <c r="B43" s="21">
        <f>B42/30*22841424.5645393*0.7/10^6</f>
        <v>46.779478196961939</v>
      </c>
    </row>
    <row r="46" spans="1:13" x14ac:dyDescent="0.25">
      <c r="A46" s="14" t="s">
        <v>53</v>
      </c>
      <c r="B46" s="15">
        <f>G33*J33*M33</f>
        <v>0.58297945397118356</v>
      </c>
    </row>
    <row r="47" spans="1:13" x14ac:dyDescent="0.25">
      <c r="A47" s="14" t="s">
        <v>27</v>
      </c>
      <c r="B47" s="15">
        <f>B39*B46</f>
        <v>6.4434630947775995</v>
      </c>
    </row>
    <row r="48" spans="1:13" x14ac:dyDescent="0.25">
      <c r="A48" s="13" t="s">
        <v>28</v>
      </c>
      <c r="B48" s="9">
        <f>10^(1.325132+0.592471*LOG(B47))</f>
        <v>63.754632648091949</v>
      </c>
    </row>
    <row r="49" spans="1:2" x14ac:dyDescent="0.25">
      <c r="A49" s="13" t="s">
        <v>34</v>
      </c>
      <c r="B49" s="9">
        <f>B48/30*22841424.5645393*0.7/10^6</f>
        <v>33.979088086330485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97EB7-0322-45A8-887E-12D29D5BC0D7}">
  <dimension ref="A1:M49"/>
  <sheetViews>
    <sheetView workbookViewId="0">
      <selection activeCell="B31" sqref="B31"/>
    </sheetView>
  </sheetViews>
  <sheetFormatPr defaultRowHeight="15" x14ac:dyDescent="0.25"/>
  <cols>
    <col min="1" max="1" width="48" bestFit="1" customWidth="1"/>
    <col min="2" max="2" width="10.7109375" customWidth="1"/>
    <col min="6" max="6" width="17" bestFit="1" customWidth="1"/>
    <col min="9" max="9" width="21" bestFit="1" customWidth="1"/>
    <col min="10" max="10" width="5" bestFit="1" customWidth="1"/>
    <col min="12" max="12" width="26.7109375" bestFit="1" customWidth="1"/>
  </cols>
  <sheetData>
    <row r="1" spans="1:3" x14ac:dyDescent="0.25">
      <c r="A1" s="20" t="s">
        <v>7</v>
      </c>
      <c r="B1" s="20"/>
    </row>
    <row r="2" spans="1:3" x14ac:dyDescent="0.25">
      <c r="A2" s="3"/>
      <c r="B2" s="3"/>
    </row>
    <row r="3" spans="1:3" x14ac:dyDescent="0.25">
      <c r="A3" s="17" t="s">
        <v>22</v>
      </c>
      <c r="B3" s="10">
        <v>16</v>
      </c>
      <c r="C3" t="s">
        <v>23</v>
      </c>
    </row>
    <row r="4" spans="1:3" x14ac:dyDescent="0.25">
      <c r="A4" s="3"/>
      <c r="B4" s="3"/>
    </row>
    <row r="5" spans="1:3" x14ac:dyDescent="0.25">
      <c r="A5" s="20" t="s">
        <v>9</v>
      </c>
      <c r="B5" s="20"/>
    </row>
    <row r="6" spans="1:3" x14ac:dyDescent="0.25">
      <c r="A6" s="6" t="s">
        <v>0</v>
      </c>
      <c r="B6" s="7">
        <v>1</v>
      </c>
    </row>
    <row r="7" spans="1:3" x14ac:dyDescent="0.25">
      <c r="A7" s="6" t="s">
        <v>1</v>
      </c>
      <c r="B7" s="7">
        <v>1</v>
      </c>
    </row>
    <row r="8" spans="1:3" x14ac:dyDescent="0.25">
      <c r="A8" s="6" t="s">
        <v>2</v>
      </c>
      <c r="B8" s="7">
        <v>0</v>
      </c>
    </row>
    <row r="9" spans="1:3" x14ac:dyDescent="0.25">
      <c r="A9" s="6" t="s">
        <v>3</v>
      </c>
      <c r="B9" s="7">
        <v>0</v>
      </c>
    </row>
    <row r="10" spans="1:3" x14ac:dyDescent="0.25">
      <c r="A10" s="6" t="s">
        <v>4</v>
      </c>
      <c r="B10" s="7">
        <v>0</v>
      </c>
    </row>
    <row r="11" spans="1:3" x14ac:dyDescent="0.25">
      <c r="A11" s="6" t="s">
        <v>5</v>
      </c>
      <c r="B11" s="7">
        <v>0</v>
      </c>
    </row>
    <row r="12" spans="1:3" x14ac:dyDescent="0.25">
      <c r="A12" s="6" t="s">
        <v>6</v>
      </c>
      <c r="B12" s="7">
        <v>0</v>
      </c>
    </row>
    <row r="13" spans="1:3" x14ac:dyDescent="0.25">
      <c r="A13" s="8" t="s">
        <v>9</v>
      </c>
      <c r="B13" s="9">
        <f>SUM(B6:B12)</f>
        <v>2</v>
      </c>
    </row>
    <row r="14" spans="1:3" x14ac:dyDescent="0.25">
      <c r="A14" s="2"/>
      <c r="B14" s="1"/>
    </row>
    <row r="15" spans="1:3" x14ac:dyDescent="0.25">
      <c r="A15" s="20" t="s">
        <v>8</v>
      </c>
      <c r="B15" s="20"/>
    </row>
    <row r="16" spans="1:3" x14ac:dyDescent="0.25">
      <c r="A16" s="6" t="s">
        <v>0</v>
      </c>
      <c r="B16" s="7">
        <v>1</v>
      </c>
    </row>
    <row r="17" spans="1:6" x14ac:dyDescent="0.25">
      <c r="A17" s="6" t="s">
        <v>10</v>
      </c>
      <c r="B17" s="7">
        <f>0.2*2</f>
        <v>0.4</v>
      </c>
    </row>
    <row r="18" spans="1:6" x14ac:dyDescent="0.25">
      <c r="A18" s="6" t="s">
        <v>11</v>
      </c>
      <c r="B18" s="7">
        <v>0</v>
      </c>
    </row>
    <row r="19" spans="1:6" x14ac:dyDescent="0.25">
      <c r="A19" s="6" t="s">
        <v>12</v>
      </c>
      <c r="B19" s="7">
        <v>0.8</v>
      </c>
    </row>
    <row r="20" spans="1:6" x14ac:dyDescent="0.25">
      <c r="A20" s="6" t="s">
        <v>13</v>
      </c>
      <c r="B20" s="7">
        <v>0</v>
      </c>
    </row>
    <row r="21" spans="1:6" x14ac:dyDescent="0.25">
      <c r="A21" s="6" t="s">
        <v>14</v>
      </c>
      <c r="B21" s="7">
        <v>0.2</v>
      </c>
    </row>
    <row r="22" spans="1:6" x14ac:dyDescent="0.25">
      <c r="A22" s="6" t="s">
        <v>15</v>
      </c>
      <c r="B22" s="7">
        <v>0</v>
      </c>
    </row>
    <row r="23" spans="1:6" x14ac:dyDescent="0.25">
      <c r="A23" s="6" t="s">
        <v>16</v>
      </c>
      <c r="B23" s="7">
        <v>2.1802000000000001</v>
      </c>
    </row>
    <row r="24" spans="1:6" x14ac:dyDescent="0.25">
      <c r="A24" s="6" t="s">
        <v>17</v>
      </c>
      <c r="B24" s="7">
        <v>0.1</v>
      </c>
    </row>
    <row r="25" spans="1:6" x14ac:dyDescent="0.25">
      <c r="A25" s="6" t="s">
        <v>18</v>
      </c>
      <c r="B25" s="7">
        <v>0.1</v>
      </c>
    </row>
    <row r="26" spans="1:6" x14ac:dyDescent="0.25">
      <c r="A26" s="6" t="s">
        <v>19</v>
      </c>
      <c r="B26" s="7">
        <v>0</v>
      </c>
    </row>
    <row r="27" spans="1:6" x14ac:dyDescent="0.25">
      <c r="A27" s="6" t="s">
        <v>20</v>
      </c>
      <c r="B27" s="7">
        <v>0</v>
      </c>
    </row>
    <row r="28" spans="1:6" x14ac:dyDescent="0.25">
      <c r="A28" s="6" t="s">
        <v>21</v>
      </c>
      <c r="B28" s="7">
        <v>0.5</v>
      </c>
    </row>
    <row r="29" spans="1:6" x14ac:dyDescent="0.25">
      <c r="A29" s="8" t="s">
        <v>8</v>
      </c>
      <c r="B29" s="9">
        <f>SUM(B16:B28)</f>
        <v>5.2801999999999998</v>
      </c>
    </row>
    <row r="31" spans="1:6" x14ac:dyDescent="0.25">
      <c r="A31" s="8" t="s">
        <v>24</v>
      </c>
      <c r="B31" s="21">
        <f>B13*B29</f>
        <v>10.5604</v>
      </c>
    </row>
    <row r="32" spans="1:6" x14ac:dyDescent="0.25">
      <c r="F32" t="s">
        <v>42</v>
      </c>
    </row>
    <row r="33" spans="1:13" x14ac:dyDescent="0.25">
      <c r="A33" s="11" t="s">
        <v>7</v>
      </c>
      <c r="B33" s="26">
        <f>B31*B3</f>
        <v>168.96639999999999</v>
      </c>
      <c r="F33" t="s">
        <v>43</v>
      </c>
      <c r="G33" s="1">
        <f>G34*G35*G36*G37*G38*G39*G40*G41*G42</f>
        <v>0.85058224727715992</v>
      </c>
      <c r="I33" t="s">
        <v>54</v>
      </c>
      <c r="J33" s="1">
        <f>J34*J35*J36*J37</f>
        <v>0.91295623999999986</v>
      </c>
      <c r="L33" t="s">
        <v>59</v>
      </c>
      <c r="M33" s="1">
        <f>M34*M35*M36*M37*M38*M39*M40*M41*M42</f>
        <v>0.75073553589384012</v>
      </c>
    </row>
    <row r="34" spans="1:13" x14ac:dyDescent="0.25">
      <c r="A34" s="8" t="s">
        <v>29</v>
      </c>
      <c r="B34" s="21">
        <f>B33*0.84*0.3048</f>
        <v>43.260805324799996</v>
      </c>
      <c r="F34" t="s">
        <v>44</v>
      </c>
      <c r="G34">
        <v>0.98</v>
      </c>
      <c r="I34" t="s">
        <v>55</v>
      </c>
      <c r="J34">
        <v>0.98</v>
      </c>
      <c r="L34" t="s">
        <v>60</v>
      </c>
      <c r="M34">
        <v>0.98</v>
      </c>
    </row>
    <row r="35" spans="1:13" ht="17.25" x14ac:dyDescent="0.25">
      <c r="A35" s="13" t="s">
        <v>30</v>
      </c>
      <c r="B35" s="21">
        <f>PI()*B34^2</f>
        <v>5879.4820977368245</v>
      </c>
      <c r="F35" t="s">
        <v>45</v>
      </c>
      <c r="G35">
        <v>0.99</v>
      </c>
      <c r="I35" t="s">
        <v>56</v>
      </c>
      <c r="J35">
        <v>0.98</v>
      </c>
      <c r="L35" t="s">
        <v>61</v>
      </c>
      <c r="M35">
        <v>0.98</v>
      </c>
    </row>
    <row r="36" spans="1:13" x14ac:dyDescent="0.25">
      <c r="A36" s="14" t="s">
        <v>31</v>
      </c>
      <c r="B36" s="15">
        <v>19.72266322244494</v>
      </c>
      <c r="F36" t="s">
        <v>46</v>
      </c>
      <c r="G36">
        <v>0.98</v>
      </c>
      <c r="I36" t="s">
        <v>57</v>
      </c>
      <c r="J36">
        <v>0.97</v>
      </c>
      <c r="L36" t="s">
        <v>62</v>
      </c>
      <c r="M36">
        <v>0.97</v>
      </c>
    </row>
    <row r="37" spans="1:13" x14ac:dyDescent="0.25">
      <c r="A37" s="14" t="s">
        <v>32</v>
      </c>
      <c r="B37" s="15">
        <f>B36*0.82</f>
        <v>16.172583842404851</v>
      </c>
      <c r="F37" t="s">
        <v>47</v>
      </c>
      <c r="G37">
        <v>0.99</v>
      </c>
      <c r="I37" t="s">
        <v>58</v>
      </c>
      <c r="J37">
        <v>0.98</v>
      </c>
      <c r="L37" t="s">
        <v>63</v>
      </c>
      <c r="M37">
        <v>0.91</v>
      </c>
    </row>
    <row r="38" spans="1:13" x14ac:dyDescent="0.25">
      <c r="A38" s="14" t="s">
        <v>33</v>
      </c>
      <c r="B38" s="15">
        <v>0.95</v>
      </c>
      <c r="F38" t="s">
        <v>48</v>
      </c>
      <c r="G38">
        <v>0.99</v>
      </c>
      <c r="L38" t="s">
        <v>64</v>
      </c>
      <c r="M38">
        <v>0.97</v>
      </c>
    </row>
    <row r="39" spans="1:13" x14ac:dyDescent="0.25">
      <c r="A39" s="14" t="s">
        <v>35</v>
      </c>
      <c r="B39" s="15">
        <f>B37*B38</f>
        <v>15.363954650284608</v>
      </c>
      <c r="F39" t="s">
        <v>49</v>
      </c>
      <c r="G39">
        <v>0.96</v>
      </c>
      <c r="L39" t="s">
        <v>65</v>
      </c>
      <c r="M39">
        <v>0.98</v>
      </c>
    </row>
    <row r="40" spans="1:13" x14ac:dyDescent="0.25">
      <c r="A40" s="14" t="s">
        <v>53</v>
      </c>
      <c r="B40" s="15">
        <v>1</v>
      </c>
      <c r="F40" t="s">
        <v>50</v>
      </c>
      <c r="G40">
        <v>0.99</v>
      </c>
      <c r="L40" t="s">
        <v>66</v>
      </c>
      <c r="M40">
        <v>0.97</v>
      </c>
    </row>
    <row r="41" spans="1:13" x14ac:dyDescent="0.25">
      <c r="A41" s="14" t="s">
        <v>27</v>
      </c>
      <c r="B41" s="15">
        <f>B39*B40</f>
        <v>15.363954650284608</v>
      </c>
      <c r="F41" t="s">
        <v>51</v>
      </c>
      <c r="G41">
        <v>0.98</v>
      </c>
      <c r="L41" t="s">
        <v>67</v>
      </c>
      <c r="M41">
        <v>0.98</v>
      </c>
    </row>
    <row r="42" spans="1:13" x14ac:dyDescent="0.25">
      <c r="A42" s="13" t="s">
        <v>28</v>
      </c>
      <c r="B42" s="9">
        <f>10^(1.325132+0.592471*LOG(B41))</f>
        <v>106.68432868424418</v>
      </c>
      <c r="F42" t="s">
        <v>52</v>
      </c>
      <c r="G42">
        <v>0.98</v>
      </c>
      <c r="L42" t="s">
        <v>68</v>
      </c>
      <c r="M42">
        <v>0.98</v>
      </c>
    </row>
    <row r="43" spans="1:13" x14ac:dyDescent="0.25">
      <c r="A43" s="13" t="s">
        <v>34</v>
      </c>
      <c r="B43" s="9">
        <f>B42/30*22841424.5645393*0.7/10^6</f>
        <v>56.859181070059186</v>
      </c>
    </row>
    <row r="46" spans="1:13" x14ac:dyDescent="0.25">
      <c r="A46" s="14" t="s">
        <v>53</v>
      </c>
      <c r="B46" s="15">
        <f>G33*J33*M33</f>
        <v>0.58297945397118356</v>
      </c>
    </row>
    <row r="47" spans="1:13" x14ac:dyDescent="0.25">
      <c r="A47" s="14" t="s">
        <v>27</v>
      </c>
      <c r="B47" s="15">
        <f>B39*B46</f>
        <v>8.9568698928609471</v>
      </c>
    </row>
    <row r="48" spans="1:13" x14ac:dyDescent="0.25">
      <c r="A48" s="13" t="s">
        <v>28</v>
      </c>
      <c r="B48" s="9">
        <f>10^(1.325132+0.592471*LOG(B47))</f>
        <v>77.49201875510424</v>
      </c>
    </row>
    <row r="49" spans="1:2" x14ac:dyDescent="0.25">
      <c r="A49" s="13" t="s">
        <v>34</v>
      </c>
      <c r="B49" s="9">
        <f>B48/30*22841424.5645393*0.7/10^6</f>
        <v>41.300655684133474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A438D-083D-4608-82A6-42C04D2AB3F1}">
  <dimension ref="A1:M49"/>
  <sheetViews>
    <sheetView tabSelected="1" workbookViewId="0">
      <selection activeCell="G10" sqref="G10"/>
    </sheetView>
  </sheetViews>
  <sheetFormatPr defaultRowHeight="15" x14ac:dyDescent="0.25"/>
  <cols>
    <col min="1" max="1" width="48" bestFit="1" customWidth="1"/>
    <col min="2" max="2" width="10.7109375" customWidth="1"/>
    <col min="6" max="6" width="17" bestFit="1" customWidth="1"/>
    <col min="9" max="9" width="21" bestFit="1" customWidth="1"/>
    <col min="10" max="10" width="5" bestFit="1" customWidth="1"/>
    <col min="12" max="12" width="26.7109375" bestFit="1" customWidth="1"/>
  </cols>
  <sheetData>
    <row r="1" spans="1:3" x14ac:dyDescent="0.25">
      <c r="A1" s="20" t="s">
        <v>7</v>
      </c>
      <c r="B1" s="20"/>
    </row>
    <row r="2" spans="1:3" x14ac:dyDescent="0.25">
      <c r="A2" s="3"/>
      <c r="B2" s="3"/>
    </row>
    <row r="3" spans="1:3" x14ac:dyDescent="0.25">
      <c r="A3" s="17" t="s">
        <v>22</v>
      </c>
      <c r="B3" s="24">
        <v>40</v>
      </c>
      <c r="C3" t="s">
        <v>23</v>
      </c>
    </row>
    <row r="4" spans="1:3" x14ac:dyDescent="0.25">
      <c r="A4" s="3"/>
      <c r="B4" s="3"/>
    </row>
    <row r="5" spans="1:3" x14ac:dyDescent="0.25">
      <c r="A5" s="20" t="s">
        <v>9</v>
      </c>
      <c r="B5" s="20"/>
    </row>
    <row r="6" spans="1:3" x14ac:dyDescent="0.25">
      <c r="A6" s="6" t="s">
        <v>0</v>
      </c>
      <c r="B6" s="25">
        <v>1</v>
      </c>
    </row>
    <row r="7" spans="1:3" x14ac:dyDescent="0.25">
      <c r="A7" s="6" t="s">
        <v>1</v>
      </c>
      <c r="B7" s="25">
        <v>0.5</v>
      </c>
    </row>
    <row r="8" spans="1:3" x14ac:dyDescent="0.25">
      <c r="A8" s="6" t="s">
        <v>2</v>
      </c>
      <c r="B8" s="25">
        <v>0</v>
      </c>
    </row>
    <row r="9" spans="1:3" x14ac:dyDescent="0.25">
      <c r="A9" s="6" t="s">
        <v>3</v>
      </c>
      <c r="B9" s="25">
        <v>0</v>
      </c>
    </row>
    <row r="10" spans="1:3" x14ac:dyDescent="0.25">
      <c r="A10" s="6" t="s">
        <v>4</v>
      </c>
      <c r="B10" s="25">
        <v>0</v>
      </c>
    </row>
    <row r="11" spans="1:3" x14ac:dyDescent="0.25">
      <c r="A11" s="6" t="s">
        <v>5</v>
      </c>
      <c r="B11" s="25">
        <v>0</v>
      </c>
    </row>
    <row r="12" spans="1:3" x14ac:dyDescent="0.25">
      <c r="A12" s="6" t="s">
        <v>6</v>
      </c>
      <c r="B12" s="25">
        <v>0</v>
      </c>
    </row>
    <row r="13" spans="1:3" x14ac:dyDescent="0.25">
      <c r="A13" s="8" t="s">
        <v>9</v>
      </c>
      <c r="B13" s="21">
        <f>SUM(B6:B12)</f>
        <v>1.5</v>
      </c>
    </row>
    <row r="14" spans="1:3" x14ac:dyDescent="0.25">
      <c r="A14" s="2"/>
      <c r="B14" s="1"/>
    </row>
    <row r="15" spans="1:3" x14ac:dyDescent="0.25">
      <c r="A15" s="20" t="s">
        <v>8</v>
      </c>
      <c r="B15" s="20"/>
    </row>
    <row r="16" spans="1:3" x14ac:dyDescent="0.25">
      <c r="A16" s="6" t="s">
        <v>0</v>
      </c>
      <c r="B16" s="25">
        <v>1</v>
      </c>
    </row>
    <row r="17" spans="1:6" x14ac:dyDescent="0.25">
      <c r="A17" s="6" t="s">
        <v>10</v>
      </c>
      <c r="B17" s="25">
        <f>0.2*2</f>
        <v>0.4</v>
      </c>
    </row>
    <row r="18" spans="1:6" x14ac:dyDescent="0.25">
      <c r="A18" s="6" t="s">
        <v>11</v>
      </c>
      <c r="B18" s="25">
        <v>0</v>
      </c>
    </row>
    <row r="19" spans="1:6" x14ac:dyDescent="0.25">
      <c r="A19" s="6" t="s">
        <v>12</v>
      </c>
      <c r="B19" s="25">
        <v>0.8</v>
      </c>
    </row>
    <row r="20" spans="1:6" x14ac:dyDescent="0.25">
      <c r="A20" s="6" t="s">
        <v>13</v>
      </c>
      <c r="B20" s="25">
        <v>0</v>
      </c>
    </row>
    <row r="21" spans="1:6" x14ac:dyDescent="0.25">
      <c r="A21" s="6" t="s">
        <v>14</v>
      </c>
      <c r="B21" s="25">
        <v>0.2</v>
      </c>
    </row>
    <row r="22" spans="1:6" x14ac:dyDescent="0.25">
      <c r="A22" s="6" t="s">
        <v>15</v>
      </c>
      <c r="B22" s="25">
        <v>0</v>
      </c>
    </row>
    <row r="23" spans="1:6" x14ac:dyDescent="0.25">
      <c r="A23" s="6" t="s">
        <v>16</v>
      </c>
      <c r="B23" s="25">
        <v>1.9530000000000001</v>
      </c>
    </row>
    <row r="24" spans="1:6" x14ac:dyDescent="0.25">
      <c r="A24" s="6" t="s">
        <v>17</v>
      </c>
      <c r="B24" s="25">
        <v>0.1</v>
      </c>
    </row>
    <row r="25" spans="1:6" x14ac:dyDescent="0.25">
      <c r="A25" s="6" t="s">
        <v>18</v>
      </c>
      <c r="B25" s="25">
        <v>0.1</v>
      </c>
    </row>
    <row r="26" spans="1:6" x14ac:dyDescent="0.25">
      <c r="A26" s="6" t="s">
        <v>19</v>
      </c>
      <c r="B26" s="25">
        <v>0</v>
      </c>
    </row>
    <row r="27" spans="1:6" x14ac:dyDescent="0.25">
      <c r="A27" s="6" t="s">
        <v>20</v>
      </c>
      <c r="B27" s="25">
        <v>0</v>
      </c>
    </row>
    <row r="28" spans="1:6" x14ac:dyDescent="0.25">
      <c r="A28" s="6" t="s">
        <v>21</v>
      </c>
      <c r="B28" s="25">
        <v>0.5</v>
      </c>
    </row>
    <row r="29" spans="1:6" x14ac:dyDescent="0.25">
      <c r="A29" s="8" t="s">
        <v>8</v>
      </c>
      <c r="B29" s="21">
        <f>SUM(B16:B28)</f>
        <v>5.0529999999999999</v>
      </c>
    </row>
    <row r="31" spans="1:6" x14ac:dyDescent="0.25">
      <c r="A31" s="8" t="s">
        <v>24</v>
      </c>
      <c r="B31" s="21">
        <f>B13*B29</f>
        <v>7.5794999999999995</v>
      </c>
    </row>
    <row r="32" spans="1:6" x14ac:dyDescent="0.25">
      <c r="F32" t="s">
        <v>42</v>
      </c>
    </row>
    <row r="33" spans="1:13" x14ac:dyDescent="0.25">
      <c r="A33" s="11" t="s">
        <v>7</v>
      </c>
      <c r="B33" s="26">
        <f>B31*B3</f>
        <v>303.17999999999995</v>
      </c>
      <c r="F33" t="s">
        <v>43</v>
      </c>
      <c r="G33" s="1">
        <f>G34*G35*G36*G37*G38*G39*G40*G41*G42</f>
        <v>0.85058224727715992</v>
      </c>
      <c r="I33" t="s">
        <v>54</v>
      </c>
      <c r="J33" s="1">
        <f>J34*J35*J36*J37</f>
        <v>0.91295623999999986</v>
      </c>
      <c r="L33" t="s">
        <v>59</v>
      </c>
      <c r="M33" s="1">
        <f>M34*M35*M36*M37*M38*M39*M40*M41*M42</f>
        <v>0.75073553589384012</v>
      </c>
    </row>
    <row r="34" spans="1:13" x14ac:dyDescent="0.25">
      <c r="A34" s="8" t="s">
        <v>29</v>
      </c>
      <c r="B34" s="21">
        <f>B33*0.84*0.3048</f>
        <v>77.623781759999986</v>
      </c>
      <c r="F34" t="s">
        <v>44</v>
      </c>
      <c r="G34">
        <v>0.98</v>
      </c>
      <c r="I34" t="s">
        <v>55</v>
      </c>
      <c r="J34">
        <v>0.98</v>
      </c>
      <c r="L34" t="s">
        <v>60</v>
      </c>
      <c r="M34">
        <v>0.98</v>
      </c>
    </row>
    <row r="35" spans="1:13" ht="17.25" x14ac:dyDescent="0.25">
      <c r="A35" s="13" t="s">
        <v>30</v>
      </c>
      <c r="B35" s="21">
        <f>PI()*B34^2</f>
        <v>18929.514150386891</v>
      </c>
      <c r="F35" t="s">
        <v>45</v>
      </c>
      <c r="G35">
        <v>0.99</v>
      </c>
      <c r="I35" t="s">
        <v>56</v>
      </c>
      <c r="J35">
        <v>0.98</v>
      </c>
      <c r="L35" t="s">
        <v>61</v>
      </c>
      <c r="M35">
        <v>0.98</v>
      </c>
    </row>
    <row r="36" spans="1:13" x14ac:dyDescent="0.25">
      <c r="A36" s="14" t="s">
        <v>31</v>
      </c>
      <c r="B36" s="15">
        <v>19.72266322244494</v>
      </c>
      <c r="F36" t="s">
        <v>46</v>
      </c>
      <c r="G36">
        <v>0.98</v>
      </c>
      <c r="I36" t="s">
        <v>57</v>
      </c>
      <c r="J36">
        <v>0.97</v>
      </c>
      <c r="L36" t="s">
        <v>62</v>
      </c>
      <c r="M36">
        <v>0.97</v>
      </c>
    </row>
    <row r="37" spans="1:13" x14ac:dyDescent="0.25">
      <c r="A37" s="14" t="s">
        <v>32</v>
      </c>
      <c r="B37" s="15">
        <f>B36*0.82</f>
        <v>16.172583842404851</v>
      </c>
      <c r="F37" t="s">
        <v>47</v>
      </c>
      <c r="G37">
        <v>0.99</v>
      </c>
      <c r="I37" t="s">
        <v>58</v>
      </c>
      <c r="J37">
        <v>0.98</v>
      </c>
      <c r="L37" t="s">
        <v>63</v>
      </c>
      <c r="M37">
        <v>0.91</v>
      </c>
    </row>
    <row r="38" spans="1:13" x14ac:dyDescent="0.25">
      <c r="A38" s="14" t="s">
        <v>33</v>
      </c>
      <c r="B38" s="15">
        <v>0.95</v>
      </c>
      <c r="F38" t="s">
        <v>48</v>
      </c>
      <c r="G38">
        <v>0.99</v>
      </c>
      <c r="L38" t="s">
        <v>64</v>
      </c>
      <c r="M38">
        <v>0.97</v>
      </c>
    </row>
    <row r="39" spans="1:13" x14ac:dyDescent="0.25">
      <c r="A39" s="14" t="s">
        <v>35</v>
      </c>
      <c r="B39" s="15">
        <f>B37*B38</f>
        <v>15.363954650284608</v>
      </c>
      <c r="F39" t="s">
        <v>49</v>
      </c>
      <c r="G39">
        <v>0.96</v>
      </c>
      <c r="L39" t="s">
        <v>65</v>
      </c>
      <c r="M39">
        <v>0.98</v>
      </c>
    </row>
    <row r="40" spans="1:13" x14ac:dyDescent="0.25">
      <c r="A40" s="14" t="s">
        <v>53</v>
      </c>
      <c r="B40" s="15">
        <v>1</v>
      </c>
      <c r="F40" t="s">
        <v>50</v>
      </c>
      <c r="G40">
        <v>0.99</v>
      </c>
      <c r="L40" t="s">
        <v>66</v>
      </c>
      <c r="M40">
        <v>0.97</v>
      </c>
    </row>
    <row r="41" spans="1:13" x14ac:dyDescent="0.25">
      <c r="A41" s="14" t="s">
        <v>27</v>
      </c>
      <c r="B41" s="15">
        <f>B39*B40</f>
        <v>15.363954650284608</v>
      </c>
      <c r="F41" t="s">
        <v>51</v>
      </c>
      <c r="G41">
        <v>0.98</v>
      </c>
      <c r="L41" t="s">
        <v>67</v>
      </c>
      <c r="M41">
        <v>0.98</v>
      </c>
    </row>
    <row r="42" spans="1:13" x14ac:dyDescent="0.25">
      <c r="A42" s="13" t="s">
        <v>28</v>
      </c>
      <c r="B42" s="9">
        <f>10^(1.325132+0.592471*LOG(B41))</f>
        <v>106.68432868424418</v>
      </c>
      <c r="F42" t="s">
        <v>52</v>
      </c>
      <c r="G42">
        <v>0.98</v>
      </c>
      <c r="L42" t="s">
        <v>68</v>
      </c>
      <c r="M42">
        <v>0.98</v>
      </c>
    </row>
    <row r="43" spans="1:13" x14ac:dyDescent="0.25">
      <c r="A43" s="13" t="s">
        <v>34</v>
      </c>
      <c r="B43" s="9">
        <f>B42/30*22841424.5645393*0.7/10^6</f>
        <v>56.859181070059186</v>
      </c>
    </row>
    <row r="46" spans="1:13" x14ac:dyDescent="0.25">
      <c r="A46" s="14" t="s">
        <v>53</v>
      </c>
      <c r="B46" s="15">
        <f>G33*J33*M33</f>
        <v>0.58297945397118356</v>
      </c>
    </row>
    <row r="47" spans="1:13" x14ac:dyDescent="0.25">
      <c r="A47" s="14" t="s">
        <v>27</v>
      </c>
      <c r="B47" s="15">
        <f>B39*B46</f>
        <v>8.9568698928609471</v>
      </c>
    </row>
    <row r="48" spans="1:13" x14ac:dyDescent="0.25">
      <c r="A48" s="13" t="s">
        <v>28</v>
      </c>
      <c r="B48" s="9">
        <f>10^(1.325132+0.592471*LOG(B47))</f>
        <v>77.49201875510424</v>
      </c>
    </row>
    <row r="49" spans="1:2" x14ac:dyDescent="0.25">
      <c r="A49" s="13" t="s">
        <v>34</v>
      </c>
      <c r="B49" s="9">
        <f>B48/30*22841424.5645393*0.7/10^6</f>
        <v>41.300655684133474</v>
      </c>
    </row>
  </sheetData>
  <mergeCells count="3">
    <mergeCell ref="A1:B1"/>
    <mergeCell ref="A5:B5"/>
    <mergeCell ref="A15:B1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5-step</vt:lpstr>
      <vt:lpstr>1-step</vt:lpstr>
      <vt:lpstr>AO</vt:lpstr>
      <vt:lpstr>storage_N2O</vt:lpstr>
      <vt:lpstr>transport_N2O</vt:lpstr>
      <vt:lpstr>benzene_N2O</vt:lpstr>
      <vt:lpstr>benzene_H2O2</vt:lpstr>
      <vt:lpstr>cumene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2025-05-26T08:38:35Z</dcterms:created>
  <dcterms:modified xsi:type="dcterms:W3CDTF">2025-11-03T18:38:55Z</dcterms:modified>
</cp:coreProperties>
</file>