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E533391C-1097-4D38-B6E0-3A022826588E}" xr6:coauthVersionLast="36" xr6:coauthVersionMax="47" xr10:uidLastSave="{00000000-0000-0000-0000-000000000000}"/>
  <bookViews>
    <workbookView xWindow="0" yWindow="495" windowWidth="14370" windowHeight="8715" activeTab="5" xr2:uid="{00000000-000D-0000-FFFF-FFFF00000000}"/>
  </bookViews>
  <sheets>
    <sheet name="climate_change_1-step_vs_5-step" sheetId="15" r:id="rId1"/>
    <sheet name="climate_change_N_vs_H" sheetId="19" r:id="rId2"/>
    <sheet name="climate_change_phenol" sheetId="28" r:id="rId3"/>
    <sheet name="economics_1-step_vs_5-step" sheetId="17" r:id="rId4"/>
    <sheet name="economics_N_vs_H" sheetId="20" r:id="rId5"/>
    <sheet name="economics_phenol" sheetId="2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20" l="1"/>
  <c r="I5" i="20"/>
  <c r="H5" i="20"/>
  <c r="G5" i="20"/>
  <c r="F5" i="20"/>
  <c r="E5" i="20"/>
  <c r="C5" i="20"/>
  <c r="D4" i="17" l="1"/>
  <c r="E4" i="17"/>
  <c r="F4" i="17"/>
  <c r="G4" i="17"/>
  <c r="H4" i="17"/>
  <c r="D5" i="17"/>
  <c r="E5" i="17"/>
  <c r="F5" i="17"/>
  <c r="G5" i="17"/>
  <c r="D5" i="27"/>
  <c r="G5" i="27"/>
  <c r="H5" i="27"/>
  <c r="I5" i="27"/>
  <c r="J5" i="27"/>
  <c r="D6" i="27"/>
  <c r="G6" i="27"/>
  <c r="H6" i="27"/>
  <c r="I6" i="27"/>
  <c r="J6" i="27"/>
  <c r="J6" i="28" l="1"/>
  <c r="I6" i="28"/>
  <c r="H6" i="28"/>
  <c r="G6" i="28"/>
  <c r="D6" i="28"/>
  <c r="J5" i="28" l="1"/>
  <c r="I5" i="28"/>
  <c r="H5" i="28"/>
  <c r="G5" i="28"/>
  <c r="F5" i="28"/>
  <c r="D5" i="28"/>
  <c r="J5" i="19"/>
  <c r="I5" i="19"/>
  <c r="H5" i="19"/>
  <c r="G5" i="19"/>
  <c r="F5" i="19"/>
  <c r="E5" i="19"/>
  <c r="C5" i="19"/>
  <c r="J4" i="19"/>
  <c r="I4" i="19"/>
  <c r="H4" i="19"/>
  <c r="G4" i="19"/>
  <c r="F4" i="19"/>
  <c r="E4" i="19"/>
  <c r="D4" i="19"/>
  <c r="H5" i="15"/>
  <c r="G5" i="15"/>
  <c r="F5" i="15"/>
  <c r="E5" i="15"/>
  <c r="D5" i="15"/>
  <c r="H4" i="15"/>
  <c r="G4" i="15"/>
  <c r="F4" i="15"/>
  <c r="E4" i="15"/>
  <c r="D4" i="15"/>
  <c r="K4" i="28" l="1"/>
  <c r="K3" i="28"/>
  <c r="A3" i="28"/>
  <c r="A4" i="28" s="1"/>
  <c r="A5" i="28" s="1"/>
  <c r="A6" i="28" s="1"/>
  <c r="K5" i="28" l="1"/>
  <c r="K6" i="28"/>
  <c r="K3" i="27" l="1"/>
  <c r="K4" i="27" l="1"/>
  <c r="K2" i="27"/>
  <c r="A3" i="27"/>
  <c r="A4" i="27" s="1"/>
  <c r="A5" i="27" s="1"/>
  <c r="A6" i="27" s="1"/>
  <c r="M2" i="27" l="1"/>
  <c r="L2" i="27"/>
  <c r="K5" i="27"/>
  <c r="K6" i="27"/>
  <c r="K3" i="20"/>
  <c r="K5" i="20" l="1"/>
  <c r="K2" i="20" l="1"/>
  <c r="K4" i="20"/>
  <c r="I4" i="17" l="1"/>
  <c r="I3" i="17"/>
  <c r="I2" i="17"/>
  <c r="I5" i="17" l="1"/>
  <c r="K2" i="19"/>
  <c r="K3" i="19"/>
  <c r="K5" i="19" l="1"/>
  <c r="K4" i="19"/>
  <c r="A3" i="20" l="1"/>
  <c r="A4" i="20" s="1"/>
  <c r="A5" i="20" s="1"/>
  <c r="A3" i="19"/>
  <c r="A4" i="19" s="1"/>
  <c r="A5" i="19" s="1"/>
  <c r="A3" i="17" l="1"/>
  <c r="A4" i="17" s="1"/>
  <c r="A5" i="17" s="1"/>
  <c r="I3" i="15"/>
  <c r="I2" i="15"/>
  <c r="I4" i="15" l="1"/>
  <c r="I5" i="15"/>
  <c r="A3" i="15" l="1"/>
  <c r="A4" i="15" s="1"/>
  <c r="A5" i="15" s="1"/>
</calcChain>
</file>

<file path=xl/sharedStrings.xml><?xml version="1.0" encoding="utf-8"?>
<sst xmlns="http://schemas.openxmlformats.org/spreadsheetml/2006/main" count="88" uniqueCount="21">
  <si>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</si>
  <si>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</si>
  <si>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</si>
  <si>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</si>
  <si>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</si>
  <si>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</si>
  <si>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</si>
  <si>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</si>
  <si>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</si>
  <si>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</si>
  <si>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</si>
  <si>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</si>
  <si>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1-step</t>
  </si>
  <si>
    <t>5-step</t>
  </si>
  <si>
    <t>Low</t>
  </si>
  <si>
    <t>High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</si>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</sst>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I5"/>
  <sheetViews>
    <sheetView zoomScale="145" zoomScaleNormal="145" workbookViewId="0">
      <selection activeCell="D13" sqref="D13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</cols>
  <sheetData>
    <row r="1" spans="1:9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</row>
    <row r="2" spans="1:9" x14ac:dyDescent="0.25">
      <c r="A2" s="2">
        <v>0</v>
      </c>
      <c r="B2" s="1" t="s">
        <v>12</v>
      </c>
      <c r="C2" s="4">
        <v>2.662956748435942</v>
      </c>
      <c r="D2" s="4">
        <v>2.8048902121597551E-4</v>
      </c>
      <c r="E2" s="4">
        <v>0</v>
      </c>
      <c r="F2" s="4">
        <v>4.1153967901467499E-4</v>
      </c>
      <c r="G2" s="4">
        <v>0</v>
      </c>
      <c r="H2" s="4">
        <v>0</v>
      </c>
      <c r="I2" s="4">
        <f>SUM(C2:H2)</f>
        <v>2.6636487771361725</v>
      </c>
    </row>
    <row r="3" spans="1:9" x14ac:dyDescent="0.25">
      <c r="A3" s="2">
        <f>A2+1</f>
        <v>1</v>
      </c>
      <c r="B3" s="1" t="s">
        <v>13</v>
      </c>
      <c r="C3" s="4">
        <v>2.910218841392247</v>
      </c>
      <c r="D3" s="4">
        <v>3.0536148056880259E-3</v>
      </c>
      <c r="E3" s="4">
        <v>1.9471868685789491E-2</v>
      </c>
      <c r="F3" s="4">
        <v>4.6869948911046935E-4</v>
      </c>
      <c r="G3" s="4">
        <v>0</v>
      </c>
      <c r="H3" s="4">
        <v>0</v>
      </c>
      <c r="I3" s="4">
        <f>SUM(C3:H3)</f>
        <v>2.9332130243728347</v>
      </c>
    </row>
    <row r="4" spans="1:9" x14ac:dyDescent="0.25">
      <c r="A4" s="2">
        <f t="shared" ref="A4:A5" si="0">A3+1</f>
        <v>2</v>
      </c>
      <c r="B4" s="1" t="s">
        <v>12</v>
      </c>
      <c r="C4" s="4">
        <v>0.20976015197608211</v>
      </c>
      <c r="D4" s="4">
        <f t="shared" ref="D4:H5" si="1">D2</f>
        <v>2.8048902121597551E-4</v>
      </c>
      <c r="E4" s="4">
        <f t="shared" si="1"/>
        <v>0</v>
      </c>
      <c r="F4" s="4">
        <f t="shared" si="1"/>
        <v>4.1153967901467499E-4</v>
      </c>
      <c r="G4" s="4">
        <f t="shared" si="1"/>
        <v>0</v>
      </c>
      <c r="H4" s="4">
        <f t="shared" si="1"/>
        <v>0</v>
      </c>
      <c r="I4" s="4">
        <f>SUM(C4:H4)</f>
        <v>0.21045218067631274</v>
      </c>
    </row>
    <row r="5" spans="1:9" x14ac:dyDescent="0.25">
      <c r="A5" s="2">
        <f t="shared" si="0"/>
        <v>3</v>
      </c>
      <c r="B5" s="1" t="s">
        <v>13</v>
      </c>
      <c r="C5" s="4">
        <v>0.25223107945362933</v>
      </c>
      <c r="D5" s="4">
        <f t="shared" si="1"/>
        <v>3.0536148056880259E-3</v>
      </c>
      <c r="E5" s="4">
        <f t="shared" si="1"/>
        <v>1.9471868685789491E-2</v>
      </c>
      <c r="F5" s="4">
        <f t="shared" si="1"/>
        <v>4.6869948911046935E-4</v>
      </c>
      <c r="G5" s="4">
        <f t="shared" si="1"/>
        <v>0</v>
      </c>
      <c r="H5" s="4">
        <f t="shared" si="1"/>
        <v>0</v>
      </c>
      <c r="I5" s="4">
        <f>SUM(C5:H5)</f>
        <v>0.2752252624342173</v>
      </c>
    </row>
  </sheetData>
  <conditionalFormatting sqref="I2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K5"/>
  <sheetViews>
    <sheetView zoomScale="145" zoomScaleNormal="145" workbookViewId="0">
      <selection activeCell="J15" sqref="J15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5.7109375" bestFit="1" customWidth="1"/>
  </cols>
  <sheetData>
    <row r="1" spans="1:11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ht="18" x14ac:dyDescent="0.35">
      <c r="A2" s="2">
        <v>0</v>
      </c>
      <c r="B2" s="1" t="s">
        <v>10</v>
      </c>
      <c r="C2" s="4">
        <v>2.662956748435942</v>
      </c>
      <c r="D2" s="4">
        <v>0</v>
      </c>
      <c r="E2" s="4">
        <v>0</v>
      </c>
      <c r="F2" s="4">
        <v>2.8048902121597551E-4</v>
      </c>
      <c r="G2" s="4">
        <v>0</v>
      </c>
      <c r="H2" s="4">
        <v>4.1153967901467499E-4</v>
      </c>
      <c r="I2" s="4">
        <v>0</v>
      </c>
      <c r="J2" s="4">
        <v>0</v>
      </c>
      <c r="K2" s="4">
        <f>SUM(C2:J2)</f>
        <v>2.6636487771361725</v>
      </c>
    </row>
    <row r="3" spans="1:11" ht="18" x14ac:dyDescent="0.35">
      <c r="A3" s="2">
        <f>A2+1</f>
        <v>1</v>
      </c>
      <c r="B3" s="1" t="s">
        <v>11</v>
      </c>
      <c r="C3" s="4">
        <v>0</v>
      </c>
      <c r="D3" s="4">
        <v>0.86277216940838464</v>
      </c>
      <c r="E3" s="4">
        <v>7.0900806585532314E-2</v>
      </c>
      <c r="F3" s="4">
        <v>4.9389172513513444E-4</v>
      </c>
      <c r="G3" s="4">
        <v>0.13347458560619641</v>
      </c>
      <c r="H3" s="4">
        <v>1.7580275935458778E-4</v>
      </c>
      <c r="I3" s="4">
        <v>0</v>
      </c>
      <c r="J3" s="4">
        <v>8.1327671291897996E-2</v>
      </c>
      <c r="K3" s="4">
        <f>SUM(C3:J3)</f>
        <v>1.1491449273765011</v>
      </c>
    </row>
    <row r="4" spans="1:11" ht="18" x14ac:dyDescent="0.35">
      <c r="A4" s="2">
        <f t="shared" ref="A4:A5" si="0">A3+1</f>
        <v>2</v>
      </c>
      <c r="B4" s="1" t="s">
        <v>10</v>
      </c>
      <c r="C4" s="4">
        <v>0.20976015197608211</v>
      </c>
      <c r="D4" s="4">
        <f t="shared" ref="D4:J4" si="1">D2</f>
        <v>0</v>
      </c>
      <c r="E4" s="4">
        <f t="shared" si="1"/>
        <v>0</v>
      </c>
      <c r="F4" s="4">
        <f t="shared" si="1"/>
        <v>2.8048902121597551E-4</v>
      </c>
      <c r="G4" s="4">
        <f t="shared" si="1"/>
        <v>0</v>
      </c>
      <c r="H4" s="4">
        <f t="shared" si="1"/>
        <v>4.1153967901467499E-4</v>
      </c>
      <c r="I4" s="4">
        <f t="shared" si="1"/>
        <v>0</v>
      </c>
      <c r="J4" s="4">
        <f t="shared" si="1"/>
        <v>0</v>
      </c>
      <c r="K4" s="4">
        <f>SUM(C4:J4)</f>
        <v>0.21045218067631274</v>
      </c>
    </row>
    <row r="5" spans="1:11" ht="18" x14ac:dyDescent="0.35">
      <c r="A5" s="2">
        <f t="shared" si="0"/>
        <v>3</v>
      </c>
      <c r="B5" s="1" t="s">
        <v>11</v>
      </c>
      <c r="C5" s="4">
        <f>C3</f>
        <v>0</v>
      </c>
      <c r="D5" s="4">
        <v>8.4306175134073152E-2</v>
      </c>
      <c r="E5" s="4">
        <f t="shared" ref="E5:J5" si="2">E3</f>
        <v>7.0900806585532314E-2</v>
      </c>
      <c r="F5" s="4">
        <f t="shared" si="2"/>
        <v>4.9389172513513444E-4</v>
      </c>
      <c r="G5" s="4">
        <f t="shared" si="2"/>
        <v>0.13347458560619641</v>
      </c>
      <c r="H5" s="4">
        <f t="shared" si="2"/>
        <v>1.7580275935458778E-4</v>
      </c>
      <c r="I5" s="4">
        <f t="shared" si="2"/>
        <v>0</v>
      </c>
      <c r="J5" s="4">
        <f t="shared" si="2"/>
        <v>8.1327671291897996E-2</v>
      </c>
      <c r="K5" s="4">
        <f>SUM(C5:J5)</f>
        <v>0.37067893310218958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K6"/>
  <sheetViews>
    <sheetView zoomScale="130" zoomScaleNormal="130" workbookViewId="0">
      <selection activeCell="G21" sqref="G21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</cols>
  <sheetData>
    <row r="1" spans="1:11" x14ac:dyDescent="0.25">
      <c r="B1" s="1" t="s">
        <v>3</v>
      </c>
      <c r="C1" s="1" t="s">
        <v>20</v>
      </c>
      <c r="D1" s="1" t="s">
        <v>16</v>
      </c>
      <c r="E1" s="1" t="s">
        <v>17</v>
      </c>
      <c r="F1" s="1" t="s">
        <v>18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x14ac:dyDescent="0.25">
      <c r="A2" s="2">
        <v>0</v>
      </c>
      <c r="B2" s="1" t="s">
        <v>19</v>
      </c>
      <c r="C2" s="4">
        <v>4.4701917929958501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4.4701917929958501</v>
      </c>
    </row>
    <row r="3" spans="1:11" ht="18" x14ac:dyDescent="0.35">
      <c r="A3" s="2">
        <f>A2+1</f>
        <v>1</v>
      </c>
      <c r="B3" s="1" t="s">
        <v>10</v>
      </c>
      <c r="C3" s="4">
        <v>0</v>
      </c>
      <c r="D3" s="4">
        <v>1.6421230348007669</v>
      </c>
      <c r="E3" s="4">
        <v>1.26603230823693</v>
      </c>
      <c r="F3" s="4">
        <v>0</v>
      </c>
      <c r="G3" s="4">
        <v>0.88651331351563367</v>
      </c>
      <c r="H3" s="4">
        <v>3.0206254141483172E-6</v>
      </c>
      <c r="I3" s="4">
        <v>0</v>
      </c>
      <c r="J3" s="4">
        <v>0.13649997469923303</v>
      </c>
      <c r="K3" s="4">
        <f>SUM(C3:J3)</f>
        <v>3.9311716518779778</v>
      </c>
    </row>
    <row r="4" spans="1:11" ht="18" x14ac:dyDescent="0.35">
      <c r="A4" s="2">
        <f>A3+1</f>
        <v>2</v>
      </c>
      <c r="B4" s="1" t="s">
        <v>11</v>
      </c>
      <c r="C4" s="4">
        <v>0</v>
      </c>
      <c r="D4" s="4">
        <v>1.8278405101910291</v>
      </c>
      <c r="E4" s="4">
        <v>0</v>
      </c>
      <c r="F4" s="4">
        <v>0.55044042021334338</v>
      </c>
      <c r="G4" s="4">
        <v>0.48010651211526362</v>
      </c>
      <c r="H4" s="4">
        <v>9.4422809239192853E-5</v>
      </c>
      <c r="I4" s="4">
        <v>0</v>
      </c>
      <c r="J4" s="4">
        <v>3.9052833411545862E-8</v>
      </c>
      <c r="K4" s="4">
        <f>SUM(C4:J4)</f>
        <v>2.8584819043817085</v>
      </c>
    </row>
    <row r="5" spans="1:11" ht="18" x14ac:dyDescent="0.35">
      <c r="A5" s="2">
        <f>A4+1</f>
        <v>3</v>
      </c>
      <c r="B5" s="1" t="s">
        <v>10</v>
      </c>
      <c r="C5" s="4">
        <v>0</v>
      </c>
      <c r="D5" s="4">
        <f>D3</f>
        <v>1.6421230348007669</v>
      </c>
      <c r="E5" s="4">
        <v>0.10002792498342949</v>
      </c>
      <c r="F5" s="4">
        <f>F3</f>
        <v>0</v>
      </c>
      <c r="G5" s="4">
        <f>G3</f>
        <v>0.88651331351563367</v>
      </c>
      <c r="H5" s="4">
        <f>H3</f>
        <v>3.0206254141483172E-6</v>
      </c>
      <c r="I5" s="4">
        <f>I3</f>
        <v>0</v>
      </c>
      <c r="J5" s="4">
        <f>J3</f>
        <v>0.13649997469923303</v>
      </c>
      <c r="K5" s="4">
        <f>SUM(C5:J5)</f>
        <v>2.7651672686244773</v>
      </c>
    </row>
    <row r="6" spans="1:11" ht="18" x14ac:dyDescent="0.35">
      <c r="A6" s="2">
        <f>A5+1</f>
        <v>4</v>
      </c>
      <c r="B6" s="1" t="s">
        <v>11</v>
      </c>
      <c r="C6" s="4">
        <v>0</v>
      </c>
      <c r="D6" s="4">
        <f>D4</f>
        <v>1.8278405101910291</v>
      </c>
      <c r="E6" s="4">
        <v>0</v>
      </c>
      <c r="F6" s="4">
        <v>0.17755522072072061</v>
      </c>
      <c r="G6" s="4">
        <f>G4</f>
        <v>0.48010651211526362</v>
      </c>
      <c r="H6" s="4">
        <f>H4</f>
        <v>9.4422809239192853E-5</v>
      </c>
      <c r="I6" s="4">
        <f>I4</f>
        <v>0</v>
      </c>
      <c r="J6" s="4">
        <f>J4</f>
        <v>3.9052833411545862E-8</v>
      </c>
      <c r="K6" s="4">
        <f>SUM(C6:J6)</f>
        <v>2.4855967048890859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K5"/>
  <sheetViews>
    <sheetView zoomScale="145" zoomScaleNormal="145" workbookViewId="0">
      <selection activeCell="J2" sqref="J2:K2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</cols>
  <sheetData>
    <row r="1" spans="1:11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14</v>
      </c>
      <c r="K1" s="3" t="s">
        <v>15</v>
      </c>
    </row>
    <row r="2" spans="1:11" x14ac:dyDescent="0.25">
      <c r="A2" s="2">
        <v>0</v>
      </c>
      <c r="B2" s="1" t="s">
        <v>12</v>
      </c>
      <c r="C2" s="4">
        <v>0.41725000000000001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4">
        <f>SUM(C2:H2)</f>
        <v>0.45695414548870761</v>
      </c>
      <c r="J2" s="1">
        <v>0.39400000000000002</v>
      </c>
      <c r="K2" s="4">
        <v>0.52</v>
      </c>
    </row>
    <row r="3" spans="1:11" x14ac:dyDescent="0.25">
      <c r="A3" s="2">
        <f>A2+1</f>
        <v>1</v>
      </c>
      <c r="B3" s="1" t="s">
        <v>13</v>
      </c>
      <c r="C3" s="4">
        <v>0.4559898407256347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4">
        <f>SUM(C3:H3)</f>
        <v>0.65518556800920069</v>
      </c>
      <c r="J3" s="1">
        <v>0.58699999999999997</v>
      </c>
      <c r="K3" s="1">
        <v>0.72399999999999998</v>
      </c>
    </row>
    <row r="4" spans="1:11" x14ac:dyDescent="0.25">
      <c r="A4" s="2">
        <f t="shared" ref="A4:A5" si="0">A3+1</f>
        <v>2</v>
      </c>
      <c r="B4" s="1" t="s">
        <v>12</v>
      </c>
      <c r="C4" s="4">
        <v>0.75726006876852481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4">
        <f>SUM(C4:H4)</f>
        <v>0.79696421425723241</v>
      </c>
      <c r="J4" s="1">
        <v>0.57899999999999996</v>
      </c>
      <c r="K4" s="1">
        <v>1.0149999999999999</v>
      </c>
    </row>
    <row r="5" spans="1:11" x14ac:dyDescent="0.25">
      <c r="A5" s="2">
        <f t="shared" si="0"/>
        <v>3</v>
      </c>
      <c r="B5" s="1" t="s">
        <v>13</v>
      </c>
      <c r="C5" s="4">
        <v>0.82757353128567213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4">
        <f>SUM(C5:H5)</f>
        <v>1.0267692585692381</v>
      </c>
      <c r="J5" s="1">
        <v>0.78800000000000003</v>
      </c>
      <c r="K5" s="1">
        <v>1.2649999999999999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M5"/>
  <sheetViews>
    <sheetView zoomScale="130" zoomScaleNormal="130" workbookViewId="0">
      <selection activeCell="L3" sqref="L3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</cols>
  <sheetData>
    <row r="1" spans="1:13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14</v>
      </c>
      <c r="M1" s="3" t="s">
        <v>15</v>
      </c>
    </row>
    <row r="2" spans="1:13" ht="18" x14ac:dyDescent="0.35">
      <c r="A2" s="2">
        <v>0</v>
      </c>
      <c r="B2" s="1" t="s">
        <v>10</v>
      </c>
      <c r="C2" s="4">
        <v>0.41699999999999998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0.45670414548870758</v>
      </c>
      <c r="L2" s="1">
        <v>0.39400000000000002</v>
      </c>
      <c r="M2" s="4">
        <v>0.52</v>
      </c>
    </row>
    <row r="3" spans="1:13" ht="18" x14ac:dyDescent="0.35">
      <c r="A3" s="2">
        <f>A2+1</f>
        <v>1</v>
      </c>
      <c r="B3" s="1" t="s">
        <v>11</v>
      </c>
      <c r="C3" s="4">
        <v>0</v>
      </c>
      <c r="D3" s="4">
        <v>8.5000000000000006E-2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1.6023312871430615</v>
      </c>
      <c r="L3" s="1">
        <v>1.587</v>
      </c>
      <c r="M3" s="1">
        <v>1.663</v>
      </c>
    </row>
    <row r="4" spans="1:13" ht="18" x14ac:dyDescent="0.35">
      <c r="A4" s="2">
        <f t="shared" ref="A4:A5" si="0">A3+1</f>
        <v>2</v>
      </c>
      <c r="B4" s="1" t="s">
        <v>10</v>
      </c>
      <c r="C4" s="4">
        <v>0.75726006876852481</v>
      </c>
      <c r="D4" s="4">
        <v>0</v>
      </c>
      <c r="E4" s="4"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0.79696421425723241</v>
      </c>
      <c r="L4" s="1">
        <v>0.57899999999999996</v>
      </c>
      <c r="M4" s="1">
        <v>1.0149999999999999</v>
      </c>
    </row>
    <row r="5" spans="1:13" ht="18" x14ac:dyDescent="0.35">
      <c r="A5" s="2">
        <f t="shared" si="0"/>
        <v>3</v>
      </c>
      <c r="B5" s="1" t="s">
        <v>11</v>
      </c>
      <c r="C5" s="4">
        <f>C3</f>
        <v>0</v>
      </c>
      <c r="D5" s="4">
        <v>0.23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1.7473312871430615</v>
      </c>
      <c r="L5" s="1">
        <v>1.675</v>
      </c>
      <c r="M5" s="1">
        <v>1.82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M6"/>
  <sheetViews>
    <sheetView tabSelected="1" zoomScale="130" zoomScaleNormal="130" workbookViewId="0">
      <selection activeCell="J19" sqref="J19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</cols>
  <sheetData>
    <row r="1" spans="1:13" x14ac:dyDescent="0.25">
      <c r="B1" s="1" t="s">
        <v>3</v>
      </c>
      <c r="C1" s="1" t="s">
        <v>20</v>
      </c>
      <c r="D1" s="1" t="s">
        <v>16</v>
      </c>
      <c r="E1" s="1" t="s">
        <v>17</v>
      </c>
      <c r="F1" s="1" t="s">
        <v>18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14</v>
      </c>
      <c r="M1" s="3" t="s">
        <v>15</v>
      </c>
    </row>
    <row r="2" spans="1:13" x14ac:dyDescent="0.25">
      <c r="A2" s="2">
        <v>0</v>
      </c>
      <c r="B2" s="1" t="s">
        <v>19</v>
      </c>
      <c r="C2" s="4">
        <v>0.84017588771828156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0.84017588771828156</v>
      </c>
      <c r="L2" s="4">
        <f>K2*0.8</f>
        <v>0.67214071017462529</v>
      </c>
      <c r="M2" s="4">
        <f>K2*1.2</f>
        <v>1.0082110652619378</v>
      </c>
    </row>
    <row r="3" spans="1:13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0.217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4">
        <f>SUM(C3:J3)</f>
        <v>1.0057745248551828</v>
      </c>
      <c r="L3" s="4">
        <v>0.97599999999999998</v>
      </c>
      <c r="M3" s="4">
        <v>1.036</v>
      </c>
    </row>
    <row r="4" spans="1:13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0.76737994916082408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4">
        <f>SUM(C4:J4)</f>
        <v>1.6157332128861337</v>
      </c>
      <c r="L4" s="4">
        <v>1.609</v>
      </c>
      <c r="M4" s="4">
        <v>1.645</v>
      </c>
    </row>
    <row r="5" spans="1:13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0.37884594736310945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4">
        <f>SUM(C5:J5)</f>
        <v>1.1676204722182923</v>
      </c>
      <c r="L5" s="4">
        <v>1.0640000000000001</v>
      </c>
      <c r="M5" s="4">
        <v>1.2709999999999999</v>
      </c>
    </row>
    <row r="6" spans="1:13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0.83723000000000003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4">
        <f>SUM(C6:J6)</f>
        <v>1.6855832637253099</v>
      </c>
      <c r="L6" s="4">
        <v>1.651</v>
      </c>
      <c r="M6" s="4">
        <v>1.72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climate_change_1-step_vs_5-step</vt:lpstr>
      <vt:lpstr>climate_change_N_vs_H</vt:lpstr>
      <vt:lpstr>climate_change_phenol</vt:lpstr>
      <vt:lpstr>economics_1-step_vs_5-step</vt:lpstr>
      <vt:lpstr>economics_N_vs_H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2025-09-09T13:06:22Z</dcterms:modified>
</cp:coreProperties>
</file>