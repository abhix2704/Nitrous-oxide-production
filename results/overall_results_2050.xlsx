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3B17B893-40E6-4FA6-8327-C036CF67AC7F}" xr6:coauthVersionLast="36" xr6:coauthVersionMax="47" xr10:uidLastSave="{00000000-0000-0000-0000-000000000000}"/>
  <bookViews>
    <workbookView xWindow="0" yWindow="495" windowWidth="14370" windowHeight="8715" xr2:uid="{00000000-000D-0000-FFFF-FFFF00000000}"/>
  </bookViews>
  <sheets>
    <sheet name="climate_change_1-step_vs_5-step" sheetId="15" r:id="rId1"/>
    <sheet name="climate_change_N_vs_H" sheetId="19" r:id="rId2"/>
    <sheet name="climate_change_phenol" sheetId="28" r:id="rId3"/>
    <sheet name="economics_1-step_vs_5-step" sheetId="17" r:id="rId4"/>
    <sheet name="economics_N_vs_H" sheetId="20" r:id="rId5"/>
    <sheet name="economics_phenol" sheetId="2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7" l="1"/>
  <c r="L2" i="27"/>
  <c r="J5" i="20"/>
  <c r="I5" i="20"/>
  <c r="H5" i="20"/>
  <c r="G5" i="20"/>
  <c r="F5" i="20"/>
  <c r="E5" i="20"/>
  <c r="C5" i="20"/>
  <c r="D4" i="17" l="1"/>
  <c r="E4" i="17"/>
  <c r="F4" i="17"/>
  <c r="G4" i="17"/>
  <c r="H4" i="17"/>
  <c r="D5" i="17"/>
  <c r="E5" i="17"/>
  <c r="F5" i="17"/>
  <c r="G5" i="17"/>
  <c r="D5" i="27"/>
  <c r="G5" i="27"/>
  <c r="H5" i="27"/>
  <c r="I5" i="27"/>
  <c r="J5" i="27"/>
  <c r="D6" i="27"/>
  <c r="G6" i="27"/>
  <c r="H6" i="27"/>
  <c r="I6" i="27"/>
  <c r="J6" i="27"/>
  <c r="J6" i="28" l="1"/>
  <c r="I6" i="28"/>
  <c r="H6" i="28"/>
  <c r="G6" i="28"/>
  <c r="D6" i="28"/>
  <c r="J5" i="28" l="1"/>
  <c r="I5" i="28"/>
  <c r="H5" i="28"/>
  <c r="G5" i="28"/>
  <c r="F5" i="28"/>
  <c r="D5" i="28"/>
  <c r="J5" i="19"/>
  <c r="I5" i="19"/>
  <c r="H5" i="19"/>
  <c r="G5" i="19"/>
  <c r="F5" i="19"/>
  <c r="E5" i="19"/>
  <c r="C5" i="19"/>
  <c r="J4" i="19"/>
  <c r="I4" i="19"/>
  <c r="H4" i="19"/>
  <c r="G4" i="19"/>
  <c r="F4" i="19"/>
  <c r="E4" i="19"/>
  <c r="D4" i="19"/>
  <c r="H5" i="15"/>
  <c r="G5" i="15"/>
  <c r="F5" i="15"/>
  <c r="E5" i="15"/>
  <c r="D5" i="15"/>
  <c r="H4" i="15"/>
  <c r="G4" i="15"/>
  <c r="F4" i="15"/>
  <c r="E4" i="15"/>
  <c r="D4" i="15"/>
  <c r="K4" i="28" l="1"/>
  <c r="K3" i="28"/>
  <c r="A3" i="28"/>
  <c r="A4" i="28" s="1"/>
  <c r="A5" i="28" s="1"/>
  <c r="A6" i="28" s="1"/>
  <c r="K5" i="28" l="1"/>
  <c r="K6" i="28"/>
  <c r="K3" i="27" l="1"/>
  <c r="K4" i="27" l="1"/>
  <c r="K2" i="27"/>
  <c r="A3" i="27"/>
  <c r="A4" i="27" s="1"/>
  <c r="A5" i="27" s="1"/>
  <c r="A6" i="27" s="1"/>
  <c r="K5" i="27" l="1"/>
  <c r="K6" i="27"/>
  <c r="K3" i="20"/>
  <c r="K5" i="20" l="1"/>
  <c r="K2" i="20" l="1"/>
  <c r="K4" i="20"/>
  <c r="I4" i="17" l="1"/>
  <c r="I3" i="17"/>
  <c r="I2" i="17"/>
  <c r="I5" i="17" l="1"/>
  <c r="K2" i="19"/>
  <c r="K3" i="19"/>
  <c r="K5" i="19" l="1"/>
  <c r="K4" i="19"/>
  <c r="A3" i="20" l="1"/>
  <c r="A4" i="20" s="1"/>
  <c r="A5" i="20" s="1"/>
  <c r="A3" i="19"/>
  <c r="A4" i="19" s="1"/>
  <c r="A5" i="19" s="1"/>
  <c r="A3" i="17" l="1"/>
  <c r="A4" i="17" s="1"/>
  <c r="A5" i="17" s="1"/>
  <c r="I3" i="15"/>
  <c r="I2" i="15"/>
  <c r="I4" i="15" l="1"/>
  <c r="I5" i="15"/>
  <c r="A3" i="15" l="1"/>
  <c r="A4" i="15" s="1"/>
  <c r="A5" i="15" s="1"/>
</calcChain>
</file>

<file path=xl/sharedStrings.xml><?xml version="1.0" encoding="utf-8"?>
<sst xmlns="http://schemas.openxmlformats.org/spreadsheetml/2006/main" count="88" uniqueCount="21">
  <si>
    <t>Electricity</t>
  </si>
  <si>
    <t>Total</t>
  </si>
  <si>
    <t>Direct emissions</t>
  </si>
  <si>
    <t>Scenario</t>
  </si>
  <si>
    <t>CAPEX</t>
  </si>
  <si>
    <t>Ammonia</t>
  </si>
  <si>
    <t>Hydrogen</t>
  </si>
  <si>
    <t>2-Ethylanthraquinone</t>
  </si>
  <si>
    <t>Heating</t>
  </si>
  <si>
    <t>Cooling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</si>
  <si>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</si>
  <si>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</si>
  <si>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1-step</t>
  </si>
  <si>
    <t>5-step</t>
  </si>
  <si>
    <t>Low</t>
  </si>
  <si>
    <t>High</t>
  </si>
  <si>
    <t>Benzene</t>
  </si>
  <si>
    <t>Nitrous oxide</t>
  </si>
  <si>
    <t>Hydrogen peroxide</t>
  </si>
  <si>
    <t>BAU</t>
  </si>
  <si>
    <t>Cumene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</si>
</sst>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B293-21A4-490E-8B90-BF3EE8D79D2C}">
  <dimension ref="A1:I5"/>
  <sheetViews>
    <sheetView tabSelected="1" zoomScale="145" zoomScaleNormal="145" workbookViewId="0">
      <selection activeCell="D13" sqref="D13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3" width="9.5703125" bestFit="1" customWidth="1"/>
    <col min="4" max="4" width="9.7109375" bestFit="1" customWidth="1"/>
    <col min="5" max="5" width="7.85546875" bestFit="1" customWidth="1"/>
    <col min="6" max="6" width="7.7109375" bestFit="1" customWidth="1"/>
    <col min="7" max="7" width="6.7109375" bestFit="1" customWidth="1"/>
    <col min="8" max="8" width="15.7109375" bestFit="1" customWidth="1"/>
    <col min="9" max="9" width="6.140625" bestFit="1" customWidth="1"/>
  </cols>
  <sheetData>
    <row r="1" spans="1:9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</row>
    <row r="2" spans="1:9" x14ac:dyDescent="0.25">
      <c r="A2" s="2">
        <v>0</v>
      </c>
      <c r="B2" s="1" t="s">
        <v>12</v>
      </c>
      <c r="C2" s="4">
        <v>2.662956748435942</v>
      </c>
      <c r="D2" s="4">
        <v>2.8048902121597551E-4</v>
      </c>
      <c r="E2" s="4">
        <v>0</v>
      </c>
      <c r="F2" s="4">
        <v>4.1153967901467499E-4</v>
      </c>
      <c r="G2" s="4">
        <v>0</v>
      </c>
      <c r="H2" s="4">
        <v>0</v>
      </c>
      <c r="I2" s="4">
        <f>SUM(C2:H2)</f>
        <v>2.6636487771361725</v>
      </c>
    </row>
    <row r="3" spans="1:9" x14ac:dyDescent="0.25">
      <c r="A3" s="2">
        <f>A2+1</f>
        <v>1</v>
      </c>
      <c r="B3" s="1" t="s">
        <v>13</v>
      </c>
      <c r="C3" s="4">
        <v>2.910218841392247</v>
      </c>
      <c r="D3" s="4">
        <v>3.0536148056880259E-3</v>
      </c>
      <c r="E3" s="4">
        <v>1.9471868685789491E-2</v>
      </c>
      <c r="F3" s="4">
        <v>4.6869948911046935E-4</v>
      </c>
      <c r="G3" s="4">
        <v>0</v>
      </c>
      <c r="H3" s="4">
        <v>0</v>
      </c>
      <c r="I3" s="4">
        <f>SUM(C3:H3)</f>
        <v>2.9332130243728347</v>
      </c>
    </row>
    <row r="4" spans="1:9" x14ac:dyDescent="0.25">
      <c r="A4" s="2">
        <f t="shared" ref="A4:A5" si="0">A3+1</f>
        <v>2</v>
      </c>
      <c r="B4" s="1" t="s">
        <v>12</v>
      </c>
      <c r="C4" s="4">
        <v>0.20976015197608211</v>
      </c>
      <c r="D4" s="4">
        <f t="shared" ref="D4:H5" si="1">D2</f>
        <v>2.8048902121597551E-4</v>
      </c>
      <c r="E4" s="4">
        <f t="shared" si="1"/>
        <v>0</v>
      </c>
      <c r="F4" s="4">
        <f t="shared" si="1"/>
        <v>4.1153967901467499E-4</v>
      </c>
      <c r="G4" s="4">
        <f t="shared" si="1"/>
        <v>0</v>
      </c>
      <c r="H4" s="4">
        <f t="shared" si="1"/>
        <v>0</v>
      </c>
      <c r="I4" s="4">
        <f>SUM(C4:H4)</f>
        <v>0.21045218067631274</v>
      </c>
    </row>
    <row r="5" spans="1:9" x14ac:dyDescent="0.25">
      <c r="A5" s="2">
        <f t="shared" si="0"/>
        <v>3</v>
      </c>
      <c r="B5" s="1" t="s">
        <v>13</v>
      </c>
      <c r="C5" s="4">
        <v>0.25223107945362933</v>
      </c>
      <c r="D5" s="4">
        <f t="shared" si="1"/>
        <v>3.0536148056880259E-3</v>
      </c>
      <c r="E5" s="4">
        <f t="shared" si="1"/>
        <v>1.9471868685789491E-2</v>
      </c>
      <c r="F5" s="4">
        <f t="shared" si="1"/>
        <v>4.6869948911046935E-4</v>
      </c>
      <c r="G5" s="4">
        <f t="shared" si="1"/>
        <v>0</v>
      </c>
      <c r="H5" s="4">
        <f t="shared" si="1"/>
        <v>0</v>
      </c>
      <c r="I5" s="4">
        <f>SUM(C5:H5)</f>
        <v>0.2752252624342173</v>
      </c>
    </row>
  </sheetData>
  <conditionalFormatting sqref="I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3BC3-354F-45C6-8CAE-219067639518}">
  <dimension ref="A1:K5"/>
  <sheetViews>
    <sheetView zoomScale="145" zoomScaleNormal="145" workbookViewId="0">
      <selection activeCell="J15" sqref="J15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5.7109375" bestFit="1" customWidth="1"/>
  </cols>
  <sheetData>
    <row r="1" spans="1:11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</row>
    <row r="2" spans="1:11" ht="18" x14ac:dyDescent="0.35">
      <c r="A2" s="2">
        <v>0</v>
      </c>
      <c r="B2" s="1" t="s">
        <v>10</v>
      </c>
      <c r="C2" s="4">
        <v>2.662956748435942</v>
      </c>
      <c r="D2" s="4">
        <v>0</v>
      </c>
      <c r="E2" s="4">
        <v>0</v>
      </c>
      <c r="F2" s="4">
        <v>2.8048902121597551E-4</v>
      </c>
      <c r="G2" s="4">
        <v>0</v>
      </c>
      <c r="H2" s="4">
        <v>4.1153967901467499E-4</v>
      </c>
      <c r="I2" s="4">
        <v>0</v>
      </c>
      <c r="J2" s="4">
        <v>0</v>
      </c>
      <c r="K2" s="4">
        <f>SUM(C2:J2)</f>
        <v>2.6636487771361725</v>
      </c>
    </row>
    <row r="3" spans="1:11" ht="18" x14ac:dyDescent="0.35">
      <c r="A3" s="2">
        <f>A2+1</f>
        <v>1</v>
      </c>
      <c r="B3" s="1" t="s">
        <v>11</v>
      </c>
      <c r="C3" s="4">
        <v>0</v>
      </c>
      <c r="D3" s="4">
        <v>0.86277216940838464</v>
      </c>
      <c r="E3" s="4">
        <v>7.0900806585532314E-2</v>
      </c>
      <c r="F3" s="4">
        <v>4.9389172513513444E-4</v>
      </c>
      <c r="G3" s="4">
        <v>0.13347458560619641</v>
      </c>
      <c r="H3" s="4">
        <v>1.7580275935458778E-4</v>
      </c>
      <c r="I3" s="4">
        <v>0</v>
      </c>
      <c r="J3" s="4">
        <v>8.1327671291897996E-2</v>
      </c>
      <c r="K3" s="4">
        <f>SUM(C3:J3)</f>
        <v>1.1491449273765011</v>
      </c>
    </row>
    <row r="4" spans="1:11" ht="18" x14ac:dyDescent="0.35">
      <c r="A4" s="2">
        <f t="shared" ref="A4:A5" si="0">A3+1</f>
        <v>2</v>
      </c>
      <c r="B4" s="1" t="s">
        <v>10</v>
      </c>
      <c r="C4" s="4">
        <v>0.20976015197608211</v>
      </c>
      <c r="D4" s="4">
        <f t="shared" ref="D4:J4" si="1">D2</f>
        <v>0</v>
      </c>
      <c r="E4" s="4">
        <f t="shared" si="1"/>
        <v>0</v>
      </c>
      <c r="F4" s="4">
        <f t="shared" si="1"/>
        <v>2.8048902121597551E-4</v>
      </c>
      <c r="G4" s="4">
        <f t="shared" si="1"/>
        <v>0</v>
      </c>
      <c r="H4" s="4">
        <f t="shared" si="1"/>
        <v>4.1153967901467499E-4</v>
      </c>
      <c r="I4" s="4">
        <f t="shared" si="1"/>
        <v>0</v>
      </c>
      <c r="J4" s="4">
        <f t="shared" si="1"/>
        <v>0</v>
      </c>
      <c r="K4" s="4">
        <f>SUM(C4:J4)</f>
        <v>0.21045218067631274</v>
      </c>
    </row>
    <row r="5" spans="1:11" ht="18" x14ac:dyDescent="0.35">
      <c r="A5" s="2">
        <f t="shared" si="0"/>
        <v>3</v>
      </c>
      <c r="B5" s="1" t="s">
        <v>11</v>
      </c>
      <c r="C5" s="4">
        <f>C3</f>
        <v>0</v>
      </c>
      <c r="D5" s="4">
        <v>8.4306175134073152E-2</v>
      </c>
      <c r="E5" s="4">
        <f t="shared" ref="E5:J5" si="2">E3</f>
        <v>7.0900806585532314E-2</v>
      </c>
      <c r="F5" s="4">
        <f t="shared" si="2"/>
        <v>4.9389172513513444E-4</v>
      </c>
      <c r="G5" s="4">
        <f t="shared" si="2"/>
        <v>0.13347458560619641</v>
      </c>
      <c r="H5" s="4">
        <f t="shared" si="2"/>
        <v>1.7580275935458778E-4</v>
      </c>
      <c r="I5" s="4">
        <f t="shared" si="2"/>
        <v>0</v>
      </c>
      <c r="J5" s="4">
        <f t="shared" si="2"/>
        <v>8.1327671291897996E-2</v>
      </c>
      <c r="K5" s="4">
        <f>SUM(C5:J5)</f>
        <v>0.37067893310218958</v>
      </c>
    </row>
  </sheetData>
  <conditionalFormatting sqref="K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7C95A-70AC-4F39-A762-7D8BB1440971}">
  <dimension ref="A1:K6"/>
  <sheetViews>
    <sheetView zoomScale="130" zoomScaleNormal="130" workbookViewId="0">
      <selection activeCell="G21" sqref="G21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5703125" bestFit="1" customWidth="1"/>
    <col min="4" max="4" width="9.5703125" bestFit="1" customWidth="1"/>
    <col min="5" max="5" width="13.140625" bestFit="1" customWidth="1"/>
    <col min="6" max="6" width="20.570312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</cols>
  <sheetData>
    <row r="1" spans="1:11" x14ac:dyDescent="0.25">
      <c r="B1" s="1" t="s">
        <v>3</v>
      </c>
      <c r="C1" s="1" t="s">
        <v>20</v>
      </c>
      <c r="D1" s="1" t="s">
        <v>16</v>
      </c>
      <c r="E1" s="1" t="s">
        <v>17</v>
      </c>
      <c r="F1" s="1" t="s">
        <v>18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</row>
    <row r="2" spans="1:11" x14ac:dyDescent="0.25">
      <c r="A2" s="2">
        <v>0</v>
      </c>
      <c r="B2" s="1" t="s">
        <v>19</v>
      </c>
      <c r="C2" s="4">
        <v>4.4701917929958501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4.4701917929958501</v>
      </c>
    </row>
    <row r="3" spans="1:11" ht="18" x14ac:dyDescent="0.35">
      <c r="A3" s="2">
        <f>A2+1</f>
        <v>1</v>
      </c>
      <c r="B3" s="1" t="s">
        <v>10</v>
      </c>
      <c r="C3" s="4">
        <v>0</v>
      </c>
      <c r="D3" s="4">
        <v>1.6421230348007669</v>
      </c>
      <c r="E3" s="4">
        <v>1.26603230823693</v>
      </c>
      <c r="F3" s="4">
        <v>0</v>
      </c>
      <c r="G3" s="4">
        <v>0.88651331351563367</v>
      </c>
      <c r="H3" s="4">
        <v>3.0206254141483172E-6</v>
      </c>
      <c r="I3" s="4">
        <v>0</v>
      </c>
      <c r="J3" s="4">
        <v>0.13649997469923303</v>
      </c>
      <c r="K3" s="4">
        <f>SUM(C3:J3)</f>
        <v>3.9311716518779778</v>
      </c>
    </row>
    <row r="4" spans="1:11" ht="18" x14ac:dyDescent="0.35">
      <c r="A4" s="2">
        <f>A3+1</f>
        <v>2</v>
      </c>
      <c r="B4" s="1" t="s">
        <v>11</v>
      </c>
      <c r="C4" s="4">
        <v>0</v>
      </c>
      <c r="D4" s="4">
        <v>1.8278405101910291</v>
      </c>
      <c r="E4" s="4">
        <v>0</v>
      </c>
      <c r="F4" s="4">
        <v>0.55044042021334338</v>
      </c>
      <c r="G4" s="4">
        <v>0.48010651211526362</v>
      </c>
      <c r="H4" s="4">
        <v>9.4422809239192853E-5</v>
      </c>
      <c r="I4" s="4">
        <v>0</v>
      </c>
      <c r="J4" s="4">
        <v>3.9052833411545862E-8</v>
      </c>
      <c r="K4" s="4">
        <f>SUM(C4:J4)</f>
        <v>2.8584819043817085</v>
      </c>
    </row>
    <row r="5" spans="1:11" ht="18" x14ac:dyDescent="0.35">
      <c r="A5" s="2">
        <f>A4+1</f>
        <v>3</v>
      </c>
      <c r="B5" s="1" t="s">
        <v>10</v>
      </c>
      <c r="C5" s="4">
        <v>0</v>
      </c>
      <c r="D5" s="4">
        <f>D3</f>
        <v>1.6421230348007669</v>
      </c>
      <c r="E5" s="4">
        <v>0.10002792498342949</v>
      </c>
      <c r="F5" s="4">
        <f>F3</f>
        <v>0</v>
      </c>
      <c r="G5" s="4">
        <f>G3</f>
        <v>0.88651331351563367</v>
      </c>
      <c r="H5" s="4">
        <f>H3</f>
        <v>3.0206254141483172E-6</v>
      </c>
      <c r="I5" s="4">
        <f>I3</f>
        <v>0</v>
      </c>
      <c r="J5" s="4">
        <f>J3</f>
        <v>0.13649997469923303</v>
      </c>
      <c r="K5" s="4">
        <f>SUM(C5:J5)</f>
        <v>2.7651672686244773</v>
      </c>
    </row>
    <row r="6" spans="1:11" ht="18" x14ac:dyDescent="0.35">
      <c r="A6" s="2">
        <f>A5+1</f>
        <v>4</v>
      </c>
      <c r="B6" s="1" t="s">
        <v>11</v>
      </c>
      <c r="C6" s="4">
        <v>0</v>
      </c>
      <c r="D6" s="4">
        <f>D4</f>
        <v>1.8278405101910291</v>
      </c>
      <c r="E6" s="4">
        <v>0</v>
      </c>
      <c r="F6" s="4">
        <v>0.17755522072072061</v>
      </c>
      <c r="G6" s="4">
        <f>G4</f>
        <v>0.48010651211526362</v>
      </c>
      <c r="H6" s="4">
        <f>H4</f>
        <v>9.4422809239192853E-5</v>
      </c>
      <c r="I6" s="4">
        <f>I4</f>
        <v>0</v>
      </c>
      <c r="J6" s="4">
        <f>J4</f>
        <v>3.9052833411545862E-8</v>
      </c>
      <c r="K6" s="4">
        <f>SUM(C6:J6)</f>
        <v>2.4855967048890859</v>
      </c>
    </row>
  </sheetData>
  <conditionalFormatting sqref="K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028-3522-4FAA-99F9-57399465E007}">
  <dimension ref="A1:K5"/>
  <sheetViews>
    <sheetView zoomScale="145" zoomScaleNormal="145" workbookViewId="0">
      <selection activeCell="F23" sqref="F23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9.5703125" bestFit="1" customWidth="1"/>
    <col min="4" max="4" width="9.7109375" bestFit="1" customWidth="1"/>
    <col min="5" max="5" width="7.85546875" bestFit="1" customWidth="1"/>
    <col min="6" max="6" width="7.7109375" bestFit="1" customWidth="1"/>
    <col min="7" max="7" width="6.7109375" bestFit="1" customWidth="1"/>
    <col min="8" max="8" width="15.7109375" bestFit="1" customWidth="1"/>
    <col min="9" max="9" width="6.140625" bestFit="1" customWidth="1"/>
  </cols>
  <sheetData>
    <row r="1" spans="1:11" x14ac:dyDescent="0.25">
      <c r="B1" s="1" t="s">
        <v>3</v>
      </c>
      <c r="C1" s="1" t="s">
        <v>5</v>
      </c>
      <c r="D1" s="1" t="s">
        <v>0</v>
      </c>
      <c r="E1" s="1" t="s">
        <v>8</v>
      </c>
      <c r="F1" s="1" t="s">
        <v>9</v>
      </c>
      <c r="G1" s="1" t="s">
        <v>4</v>
      </c>
      <c r="H1" s="1" t="s">
        <v>2</v>
      </c>
      <c r="I1" s="3" t="s">
        <v>1</v>
      </c>
      <c r="J1" s="3" t="s">
        <v>14</v>
      </c>
      <c r="K1" s="3" t="s">
        <v>15</v>
      </c>
    </row>
    <row r="2" spans="1:11" x14ac:dyDescent="0.25">
      <c r="A2" s="2">
        <v>0</v>
      </c>
      <c r="B2" s="1" t="s">
        <v>12</v>
      </c>
      <c r="C2" s="4">
        <v>0.75578589809279861</v>
      </c>
      <c r="D2" s="4">
        <v>4.7000672476377415E-3</v>
      </c>
      <c r="E2" s="4">
        <v>0</v>
      </c>
      <c r="F2" s="4">
        <v>2.3076491450649021E-3</v>
      </c>
      <c r="G2" s="4">
        <v>3.2696429096004974E-2</v>
      </c>
      <c r="H2" s="4">
        <v>0</v>
      </c>
      <c r="I2" s="4">
        <f>SUM(C2:H2)</f>
        <v>0.79549004358150621</v>
      </c>
      <c r="J2" s="1">
        <v>0.68200000000000005</v>
      </c>
      <c r="K2" s="1">
        <v>0.90900000000000003</v>
      </c>
    </row>
    <row r="3" spans="1:11" x14ac:dyDescent="0.25">
      <c r="A3" s="2">
        <f>A2+1</f>
        <v>1</v>
      </c>
      <c r="B3" s="1" t="s">
        <v>13</v>
      </c>
      <c r="C3" s="4">
        <v>0.82596248023182151</v>
      </c>
      <c r="D3" s="4">
        <v>5.1168474233421232E-2</v>
      </c>
      <c r="E3" s="4">
        <v>1.9080895954422348E-3</v>
      </c>
      <c r="F3" s="4">
        <v>6.6061416810474644E-3</v>
      </c>
      <c r="G3" s="4">
        <v>0.13951302177365515</v>
      </c>
      <c r="H3" s="4">
        <v>0</v>
      </c>
      <c r="I3" s="4">
        <f>SUM(C3:H3)</f>
        <v>1.0251582075153876</v>
      </c>
      <c r="J3" s="1">
        <v>0.90100000000000002</v>
      </c>
      <c r="K3" s="1">
        <v>1.149</v>
      </c>
    </row>
    <row r="4" spans="1:11" x14ac:dyDescent="0.25">
      <c r="A4" s="2">
        <f t="shared" ref="A4:A5" si="0">A3+1</f>
        <v>2</v>
      </c>
      <c r="B4" s="1" t="s">
        <v>12</v>
      </c>
      <c r="C4" s="4">
        <v>0.75726006876852481</v>
      </c>
      <c r="D4" s="4">
        <f>D2</f>
        <v>4.7000672476377415E-3</v>
      </c>
      <c r="E4" s="4">
        <f>E2</f>
        <v>0</v>
      </c>
      <c r="F4" s="4">
        <f>F2</f>
        <v>2.3076491450649021E-3</v>
      </c>
      <c r="G4" s="4">
        <f>G2</f>
        <v>3.2696429096004974E-2</v>
      </c>
      <c r="H4" s="4">
        <f>H2</f>
        <v>0</v>
      </c>
      <c r="I4" s="4">
        <f>SUM(C4:H4)</f>
        <v>0.79696421425723241</v>
      </c>
      <c r="J4" s="1">
        <v>0.57899999999999996</v>
      </c>
      <c r="K4" s="1">
        <v>1.0149999999999999</v>
      </c>
    </row>
    <row r="5" spans="1:11" x14ac:dyDescent="0.25">
      <c r="A5" s="2">
        <f t="shared" si="0"/>
        <v>3</v>
      </c>
      <c r="B5" s="1" t="s">
        <v>13</v>
      </c>
      <c r="C5" s="4">
        <v>0.82757353128567213</v>
      </c>
      <c r="D5" s="4">
        <f>D3</f>
        <v>5.1168474233421232E-2</v>
      </c>
      <c r="E5" s="4">
        <f>E3</f>
        <v>1.9080895954422348E-3</v>
      </c>
      <c r="F5" s="4">
        <f>F3</f>
        <v>6.6061416810474644E-3</v>
      </c>
      <c r="G5" s="4">
        <f>G3</f>
        <v>0.13951302177365515</v>
      </c>
      <c r="H5" s="4">
        <v>0</v>
      </c>
      <c r="I5" s="4">
        <f>SUM(C5:H5)</f>
        <v>1.0267692585692381</v>
      </c>
      <c r="J5" s="1">
        <v>0.78800000000000003</v>
      </c>
      <c r="K5" s="1">
        <v>1.2649999999999999</v>
      </c>
    </row>
  </sheetData>
  <conditionalFormatting sqref="I3:K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:K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:K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K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733B-5606-4623-ABA0-C76C38F9D7AD}">
  <dimension ref="A1:M5"/>
  <sheetViews>
    <sheetView zoomScale="130" zoomScaleNormal="130" workbookViewId="0">
      <selection activeCell="M5" activeCellId="1" sqref="M3 M5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</cols>
  <sheetData>
    <row r="1" spans="1:13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14</v>
      </c>
      <c r="M1" s="3" t="s">
        <v>15</v>
      </c>
    </row>
    <row r="2" spans="1:13" ht="18" x14ac:dyDescent="0.35">
      <c r="A2" s="2">
        <v>0</v>
      </c>
      <c r="B2" s="1" t="s">
        <v>10</v>
      </c>
      <c r="C2" s="4">
        <v>0.75578589809279861</v>
      </c>
      <c r="D2" s="4">
        <v>0</v>
      </c>
      <c r="E2" s="4">
        <v>0</v>
      </c>
      <c r="F2" s="4">
        <v>4.7000672476377415E-3</v>
      </c>
      <c r="G2" s="4">
        <v>0</v>
      </c>
      <c r="H2" s="4">
        <v>2.3076491450649021E-3</v>
      </c>
      <c r="I2" s="4">
        <v>3.2696429096004974E-2</v>
      </c>
      <c r="J2" s="4">
        <v>0</v>
      </c>
      <c r="K2" s="4">
        <f>SUM(C2:J2)</f>
        <v>0.79549004358150621</v>
      </c>
      <c r="L2" s="1">
        <v>0.68200000000000005</v>
      </c>
      <c r="M2" s="1">
        <v>0.90900000000000003</v>
      </c>
    </row>
    <row r="3" spans="1:13" ht="18" x14ac:dyDescent="0.35">
      <c r="A3" s="2">
        <f>A2+1</f>
        <v>1</v>
      </c>
      <c r="B3" s="1" t="s">
        <v>11</v>
      </c>
      <c r="C3" s="4">
        <v>0</v>
      </c>
      <c r="D3" s="4">
        <v>0.154</v>
      </c>
      <c r="E3" s="4">
        <v>1.4572960426533341</v>
      </c>
      <c r="F3" s="4">
        <v>8.2759901362157908E-3</v>
      </c>
      <c r="G3" s="4">
        <v>1.3848836761850409E-2</v>
      </c>
      <c r="H3" s="4">
        <v>1.4293923222371456E-3</v>
      </c>
      <c r="I3" s="4">
        <v>3.6481025269424254E-2</v>
      </c>
      <c r="J3" s="4">
        <v>0</v>
      </c>
      <c r="K3" s="4">
        <f>SUM(C3:J3)</f>
        <v>1.6713312871430615</v>
      </c>
      <c r="L3" s="1">
        <v>1.643</v>
      </c>
      <c r="M3" s="1">
        <v>1.782</v>
      </c>
    </row>
    <row r="4" spans="1:13" ht="18" x14ac:dyDescent="0.35">
      <c r="A4" s="2">
        <f t="shared" ref="A4:A5" si="0">A3+1</f>
        <v>2</v>
      </c>
      <c r="B4" s="1" t="s">
        <v>10</v>
      </c>
      <c r="C4" s="4">
        <v>0.75726006876852481</v>
      </c>
      <c r="D4" s="4">
        <v>0</v>
      </c>
      <c r="E4" s="4">
        <v>0</v>
      </c>
      <c r="F4" s="4">
        <v>4.7000672476377415E-3</v>
      </c>
      <c r="G4" s="4">
        <v>0</v>
      </c>
      <c r="H4" s="4">
        <v>2.3076491450649021E-3</v>
      </c>
      <c r="I4" s="4">
        <v>3.2696429096004974E-2</v>
      </c>
      <c r="J4" s="4">
        <v>0</v>
      </c>
      <c r="K4" s="4">
        <f>SUM(C4:J4)</f>
        <v>0.79696421425723241</v>
      </c>
      <c r="L4" s="1">
        <v>0.57899999999999996</v>
      </c>
      <c r="M4" s="1">
        <v>1.0149999999999999</v>
      </c>
    </row>
    <row r="5" spans="1:13" ht="18" x14ac:dyDescent="0.35">
      <c r="A5" s="2">
        <f t="shared" si="0"/>
        <v>3</v>
      </c>
      <c r="B5" s="1" t="s">
        <v>11</v>
      </c>
      <c r="C5" s="4">
        <f>C3</f>
        <v>0</v>
      </c>
      <c r="D5" s="4">
        <v>0.23</v>
      </c>
      <c r="E5" s="4">
        <f>E3</f>
        <v>1.4572960426533341</v>
      </c>
      <c r="F5" s="4">
        <f>F3</f>
        <v>8.2759901362157908E-3</v>
      </c>
      <c r="G5" s="4">
        <f>G3</f>
        <v>1.3848836761850409E-2</v>
      </c>
      <c r="H5" s="4">
        <f>H3</f>
        <v>1.4293923222371456E-3</v>
      </c>
      <c r="I5" s="4">
        <f>I3</f>
        <v>3.6481025269424254E-2</v>
      </c>
      <c r="J5" s="4">
        <f>J3</f>
        <v>0</v>
      </c>
      <c r="K5" s="4">
        <f>SUM(C5:J5)</f>
        <v>1.7473312871430615</v>
      </c>
      <c r="L5" s="1">
        <v>1.675</v>
      </c>
      <c r="M5" s="1">
        <v>1.82</v>
      </c>
    </row>
  </sheetData>
  <conditionalFormatting sqref="K2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6791-F612-4B05-9F29-C7FAE3DBF4AF}">
  <dimension ref="A1:M6"/>
  <sheetViews>
    <sheetView zoomScale="130" zoomScaleNormal="130" workbookViewId="0">
      <selection activeCell="D17" sqref="D17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3" width="17.5703125" bestFit="1" customWidth="1"/>
    <col min="4" max="4" width="9.5703125" bestFit="1" customWidth="1"/>
    <col min="5" max="5" width="13.140625" bestFit="1" customWidth="1"/>
    <col min="6" max="6" width="20.570312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</cols>
  <sheetData>
    <row r="1" spans="1:13" x14ac:dyDescent="0.25">
      <c r="B1" s="1" t="s">
        <v>3</v>
      </c>
      <c r="C1" s="1" t="s">
        <v>20</v>
      </c>
      <c r="D1" s="1" t="s">
        <v>16</v>
      </c>
      <c r="E1" s="1" t="s">
        <v>17</v>
      </c>
      <c r="F1" s="1" t="s">
        <v>18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3" t="s">
        <v>14</v>
      </c>
      <c r="M1" s="3" t="s">
        <v>15</v>
      </c>
    </row>
    <row r="2" spans="1:13" x14ac:dyDescent="0.25">
      <c r="A2" s="2">
        <v>0</v>
      </c>
      <c r="B2" s="1" t="s">
        <v>19</v>
      </c>
      <c r="C2" s="4">
        <v>1.5218623269028277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f>SUM(C2:J2)</f>
        <v>1.5218623269028277</v>
      </c>
      <c r="L2" s="4">
        <f>K2*0.8</f>
        <v>1.2174898615222622</v>
      </c>
      <c r="M2" s="4">
        <f>K2*1.2</f>
        <v>1.8262347922833932</v>
      </c>
    </row>
    <row r="3" spans="1:13" ht="18" x14ac:dyDescent="0.35">
      <c r="A3" s="2">
        <f>A2+1</f>
        <v>1</v>
      </c>
      <c r="B3" s="1" t="s">
        <v>10</v>
      </c>
      <c r="C3" s="4">
        <v>0</v>
      </c>
      <c r="D3" s="4">
        <v>0.66279646911249523</v>
      </c>
      <c r="E3" s="4">
        <v>0.37789526744500879</v>
      </c>
      <c r="F3" s="4">
        <v>0</v>
      </c>
      <c r="G3" s="4">
        <v>7.8184181448916604E-2</v>
      </c>
      <c r="H3" s="4">
        <v>4.9972870800841899E-4</v>
      </c>
      <c r="I3" s="4">
        <v>4.7294145585762677E-2</v>
      </c>
      <c r="J3" s="4">
        <v>0</v>
      </c>
      <c r="K3" s="4">
        <f>SUM(C3:J3)</f>
        <v>1.1666697923001919</v>
      </c>
      <c r="L3" s="4">
        <v>1.113</v>
      </c>
      <c r="M3" s="4">
        <v>1.2210000000000001</v>
      </c>
    </row>
    <row r="4" spans="1:13" ht="18" x14ac:dyDescent="0.35">
      <c r="A4" s="2">
        <f>A3+1</f>
        <v>2</v>
      </c>
      <c r="B4" s="1" t="s">
        <v>11</v>
      </c>
      <c r="C4" s="4">
        <v>0</v>
      </c>
      <c r="D4" s="4">
        <v>0.73775037421411871</v>
      </c>
      <c r="E4" s="4">
        <v>0</v>
      </c>
      <c r="F4" s="4">
        <v>0.80069999999999997</v>
      </c>
      <c r="G4" s="4">
        <v>4.2341987290915609E-2</v>
      </c>
      <c r="H4" s="4">
        <v>2.525261666604656E-3</v>
      </c>
      <c r="I4" s="4">
        <v>6.5735640553670732E-2</v>
      </c>
      <c r="J4" s="4">
        <v>0</v>
      </c>
      <c r="K4" s="4">
        <f>SUM(C4:J4)</f>
        <v>1.6490532637253097</v>
      </c>
      <c r="L4" s="4">
        <v>1.635</v>
      </c>
      <c r="M4" s="4">
        <v>1.702</v>
      </c>
    </row>
    <row r="5" spans="1:13" ht="18" x14ac:dyDescent="0.35">
      <c r="A5" s="2">
        <f>A4+1</f>
        <v>3</v>
      </c>
      <c r="B5" s="1" t="s">
        <v>10</v>
      </c>
      <c r="C5" s="4">
        <v>0</v>
      </c>
      <c r="D5" s="4">
        <f>D3</f>
        <v>0.66279646911249523</v>
      </c>
      <c r="E5" s="4">
        <v>0.37884594736310945</v>
      </c>
      <c r="F5" s="4">
        <v>0</v>
      </c>
      <c r="G5" s="4">
        <f t="shared" ref="G5:J6" si="0">G3</f>
        <v>7.8184181448916604E-2</v>
      </c>
      <c r="H5" s="4">
        <f t="shared" si="0"/>
        <v>4.9972870800841899E-4</v>
      </c>
      <c r="I5" s="4">
        <f t="shared" si="0"/>
        <v>4.7294145585762677E-2</v>
      </c>
      <c r="J5" s="4">
        <f t="shared" si="0"/>
        <v>0</v>
      </c>
      <c r="K5" s="4">
        <f>SUM(C5:J5)</f>
        <v>1.1676204722182923</v>
      </c>
      <c r="L5" s="4">
        <v>1.0640000000000001</v>
      </c>
      <c r="M5" s="4">
        <v>1.2709999999999999</v>
      </c>
    </row>
    <row r="6" spans="1:13" ht="18" x14ac:dyDescent="0.35">
      <c r="A6" s="2">
        <f>A5+1</f>
        <v>4</v>
      </c>
      <c r="B6" s="1" t="s">
        <v>11</v>
      </c>
      <c r="C6" s="4">
        <v>0</v>
      </c>
      <c r="D6" s="4">
        <f>D4</f>
        <v>0.73775037421411871</v>
      </c>
      <c r="E6" s="4">
        <v>0</v>
      </c>
      <c r="F6" s="4">
        <v>0.83723000000000003</v>
      </c>
      <c r="G6" s="4">
        <f t="shared" si="0"/>
        <v>4.2341987290915609E-2</v>
      </c>
      <c r="H6" s="4">
        <f t="shared" si="0"/>
        <v>2.525261666604656E-3</v>
      </c>
      <c r="I6" s="4">
        <f t="shared" si="0"/>
        <v>6.5735640553670732E-2</v>
      </c>
      <c r="J6" s="4">
        <f t="shared" si="0"/>
        <v>0</v>
      </c>
      <c r="K6" s="4">
        <f>SUM(C6:J6)</f>
        <v>1.6855832637253099</v>
      </c>
      <c r="L6" s="4">
        <v>1.651</v>
      </c>
      <c r="M6" s="4">
        <v>1.72</v>
      </c>
    </row>
  </sheetData>
  <conditionalFormatting sqref="K2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2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:M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:M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M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climate_change_1-step_vs_5-step</vt:lpstr>
      <vt:lpstr>climate_change_N_vs_H</vt:lpstr>
      <vt:lpstr>climate_change_phenol</vt:lpstr>
      <vt:lpstr>economics_1-step_vs_5-step</vt:lpstr>
      <vt:lpstr>economics_N_vs_H</vt:lpstr>
      <vt:lpstr>economics_phenol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2025-06-19T13:22:08Z</dcterms:modified>
</cp:coreProperties>
</file>