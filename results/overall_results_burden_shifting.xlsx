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nabera\Desktop\Side projects\Nitrous oxide production\results\"/>
    </mc:Choice>
  </mc:AlternateContent>
  <xr:revisionPtr revIDLastSave="0" documentId="13_ncr:1_{DB52AADA-CEBE-43E5-B2EC-24F52613E3A8}" xr6:coauthVersionLast="36" xr6:coauthVersionMax="47" xr10:uidLastSave="{00000000-0000-0000-0000-000000000000}"/>
  <bookViews>
    <workbookView xWindow="0" yWindow="495" windowWidth="14370" windowHeight="8715" activeTab="5" xr2:uid="{00000000-000D-0000-FFFF-FFFF00000000}"/>
  </bookViews>
  <sheets>
    <sheet name="hh_1-step_vs_5-step" sheetId="29" r:id="rId1"/>
    <sheet name="hh_N_vs_H" sheetId="30" r:id="rId2"/>
    <sheet name="hh_phenol" sheetId="31" r:id="rId3"/>
    <sheet name="es_1-step_vs_5-step" sheetId="35" r:id="rId4"/>
    <sheet name="es_N_vs_H" sheetId="36" r:id="rId5"/>
    <sheet name="es_phenol" sheetId="37" r:id="rId6"/>
    <sheet name="nr_1-step_vs_5-step" sheetId="32" r:id="rId7"/>
    <sheet name="nr_N_vs_H" sheetId="33" r:id="rId8"/>
    <sheet name="nr_phenol" sheetId="34" r:id="rId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6" i="37" l="1"/>
  <c r="I6" i="37"/>
  <c r="H6" i="37"/>
  <c r="G6" i="37"/>
  <c r="E6" i="37"/>
  <c r="D6" i="37"/>
  <c r="C6" i="37"/>
  <c r="K6" i="37" s="1"/>
  <c r="M5" i="37"/>
  <c r="L5" i="37"/>
  <c r="K5" i="37"/>
  <c r="J5" i="37"/>
  <c r="I5" i="37"/>
  <c r="H5" i="37"/>
  <c r="G5" i="37"/>
  <c r="F5" i="37"/>
  <c r="D5" i="37"/>
  <c r="C5" i="37"/>
  <c r="M4" i="37"/>
  <c r="K4" i="37"/>
  <c r="L4" i="37" s="1"/>
  <c r="K3" i="37"/>
  <c r="M3" i="37" s="1"/>
  <c r="A3" i="37"/>
  <c r="A4" i="37" s="1"/>
  <c r="A5" i="37" s="1"/>
  <c r="A6" i="37" s="1"/>
  <c r="K2" i="37"/>
  <c r="M2" i="37" s="1"/>
  <c r="J5" i="36"/>
  <c r="I5" i="36"/>
  <c r="H5" i="36"/>
  <c r="K5" i="36" s="1"/>
  <c r="G5" i="36"/>
  <c r="F5" i="36"/>
  <c r="E5" i="36"/>
  <c r="C5" i="36"/>
  <c r="J4" i="36"/>
  <c r="I4" i="36"/>
  <c r="H4" i="36"/>
  <c r="G4" i="36"/>
  <c r="F4" i="36"/>
  <c r="E4" i="36"/>
  <c r="D4" i="36"/>
  <c r="K4" i="36" s="1"/>
  <c r="A4" i="36"/>
  <c r="A5" i="36" s="1"/>
  <c r="K3" i="36"/>
  <c r="M3" i="36" s="1"/>
  <c r="A3" i="36"/>
  <c r="K2" i="36"/>
  <c r="M2" i="36" s="1"/>
  <c r="H5" i="35"/>
  <c r="G5" i="35"/>
  <c r="F5" i="35"/>
  <c r="E5" i="35"/>
  <c r="D5" i="35"/>
  <c r="I5" i="35" s="1"/>
  <c r="A5" i="35"/>
  <c r="H4" i="35"/>
  <c r="G4" i="35"/>
  <c r="F4" i="35"/>
  <c r="E4" i="35"/>
  <c r="D4" i="35"/>
  <c r="I4" i="35" s="1"/>
  <c r="A4" i="35"/>
  <c r="K3" i="35"/>
  <c r="I3" i="35"/>
  <c r="J3" i="35" s="1"/>
  <c r="A3" i="35"/>
  <c r="I2" i="35"/>
  <c r="K2" i="35" s="1"/>
  <c r="M5" i="36" l="1"/>
  <c r="L5" i="36"/>
  <c r="M6" i="37"/>
  <c r="L6" i="37"/>
  <c r="L4" i="36"/>
  <c r="M4" i="36"/>
  <c r="K5" i="35"/>
  <c r="J5" i="35"/>
  <c r="K4" i="35"/>
  <c r="J4" i="35"/>
  <c r="L2" i="37"/>
  <c r="L2" i="36"/>
  <c r="L3" i="37"/>
  <c r="J2" i="35"/>
  <c r="L3" i="36"/>
  <c r="C5" i="33"/>
  <c r="J6" i="34"/>
  <c r="I6" i="34"/>
  <c r="H6" i="34"/>
  <c r="G6" i="34"/>
  <c r="E6" i="34"/>
  <c r="D6" i="34"/>
  <c r="C6" i="34"/>
  <c r="J5" i="34"/>
  <c r="I5" i="34"/>
  <c r="H5" i="34"/>
  <c r="G5" i="34"/>
  <c r="F5" i="34"/>
  <c r="D5" i="34"/>
  <c r="C5" i="34"/>
  <c r="K4" i="34"/>
  <c r="L4" i="34" s="1"/>
  <c r="K3" i="34"/>
  <c r="M3" i="34" s="1"/>
  <c r="A3" i="34"/>
  <c r="A4" i="34" s="1"/>
  <c r="A5" i="34" s="1"/>
  <c r="A6" i="34" s="1"/>
  <c r="K2" i="34"/>
  <c r="L2" i="34" s="1"/>
  <c r="J5" i="33"/>
  <c r="I5" i="33"/>
  <c r="H5" i="33"/>
  <c r="G5" i="33"/>
  <c r="F5" i="33"/>
  <c r="E5" i="33"/>
  <c r="J4" i="33"/>
  <c r="I4" i="33"/>
  <c r="H4" i="33"/>
  <c r="G4" i="33"/>
  <c r="F4" i="33"/>
  <c r="E4" i="33"/>
  <c r="D4" i="33"/>
  <c r="K3" i="33"/>
  <c r="L3" i="33" s="1"/>
  <c r="A3" i="33"/>
  <c r="A4" i="33" s="1"/>
  <c r="A5" i="33" s="1"/>
  <c r="K2" i="33"/>
  <c r="L2" i="33" s="1"/>
  <c r="H5" i="32"/>
  <c r="G5" i="32"/>
  <c r="F5" i="32"/>
  <c r="E5" i="32"/>
  <c r="D5" i="32"/>
  <c r="H4" i="32"/>
  <c r="G4" i="32"/>
  <c r="F4" i="32"/>
  <c r="E4" i="32"/>
  <c r="D4" i="32"/>
  <c r="I4" i="32" s="1"/>
  <c r="A4" i="32"/>
  <c r="A5" i="32" s="1"/>
  <c r="I3" i="32"/>
  <c r="J3" i="32" s="1"/>
  <c r="A3" i="32"/>
  <c r="I2" i="32"/>
  <c r="J2" i="32" s="1"/>
  <c r="D4" i="30"/>
  <c r="F5" i="31"/>
  <c r="E6" i="31"/>
  <c r="J6" i="31"/>
  <c r="I6" i="31"/>
  <c r="H6" i="31"/>
  <c r="G6" i="31"/>
  <c r="D6" i="31"/>
  <c r="C6" i="31"/>
  <c r="J5" i="31"/>
  <c r="I5" i="31"/>
  <c r="H5" i="31"/>
  <c r="G5" i="31"/>
  <c r="D5" i="31"/>
  <c r="C5" i="31"/>
  <c r="K4" i="31"/>
  <c r="M4" i="31" s="1"/>
  <c r="K3" i="31"/>
  <c r="M3" i="31" s="1"/>
  <c r="A3" i="31"/>
  <c r="A4" i="31" s="1"/>
  <c r="A5" i="31" s="1"/>
  <c r="A6" i="31" s="1"/>
  <c r="K2" i="31"/>
  <c r="L2" i="31" s="1"/>
  <c r="J5" i="30"/>
  <c r="I5" i="30"/>
  <c r="H5" i="30"/>
  <c r="G5" i="30"/>
  <c r="F5" i="30"/>
  <c r="E5" i="30"/>
  <c r="J4" i="30"/>
  <c r="I4" i="30"/>
  <c r="H4" i="30"/>
  <c r="G4" i="30"/>
  <c r="F4" i="30"/>
  <c r="E4" i="30"/>
  <c r="K3" i="30"/>
  <c r="M3" i="30" s="1"/>
  <c r="A3" i="30"/>
  <c r="A4" i="30" s="1"/>
  <c r="A5" i="30" s="1"/>
  <c r="K2" i="30"/>
  <c r="L2" i="30" s="1"/>
  <c r="H5" i="29"/>
  <c r="G5" i="29"/>
  <c r="F5" i="29"/>
  <c r="E5" i="29"/>
  <c r="D5" i="29"/>
  <c r="I5" i="29" s="1"/>
  <c r="H4" i="29"/>
  <c r="G4" i="29"/>
  <c r="F4" i="29"/>
  <c r="E4" i="29"/>
  <c r="D4" i="29"/>
  <c r="A4" i="29"/>
  <c r="A5" i="29" s="1"/>
  <c r="I3" i="29"/>
  <c r="J3" i="29" s="1"/>
  <c r="A3" i="29"/>
  <c r="I2" i="29"/>
  <c r="J2" i="29" s="1"/>
  <c r="K6" i="34" l="1"/>
  <c r="L6" i="34" s="1"/>
  <c r="K5" i="34"/>
  <c r="M5" i="34" s="1"/>
  <c r="K5" i="33"/>
  <c r="K4" i="33"/>
  <c r="L4" i="33" s="1"/>
  <c r="K2" i="32"/>
  <c r="K5" i="30"/>
  <c r="L5" i="30" s="1"/>
  <c r="I5" i="32"/>
  <c r="K5" i="32" s="1"/>
  <c r="K3" i="32"/>
  <c r="K4" i="32"/>
  <c r="J4" i="32"/>
  <c r="M5" i="33"/>
  <c r="L5" i="33"/>
  <c r="L3" i="34"/>
  <c r="M2" i="34"/>
  <c r="M2" i="33"/>
  <c r="M3" i="33"/>
  <c r="M4" i="34"/>
  <c r="K3" i="29"/>
  <c r="K6" i="31"/>
  <c r="M6" i="31" s="1"/>
  <c r="K5" i="31"/>
  <c r="M5" i="31" s="1"/>
  <c r="L3" i="30"/>
  <c r="K4" i="30"/>
  <c r="L4" i="30" s="1"/>
  <c r="I4" i="29"/>
  <c r="J4" i="29" s="1"/>
  <c r="M2" i="30"/>
  <c r="L3" i="31"/>
  <c r="M2" i="31"/>
  <c r="L4" i="31"/>
  <c r="J5" i="29"/>
  <c r="K5" i="29"/>
  <c r="K2" i="29"/>
  <c r="L5" i="34" l="1"/>
  <c r="M6" i="34"/>
  <c r="J5" i="32"/>
  <c r="M4" i="33"/>
  <c r="L6" i="31"/>
  <c r="M5" i="30"/>
  <c r="L5" i="31"/>
  <c r="M4" i="30"/>
  <c r="K4" i="29"/>
</calcChain>
</file>

<file path=xl/sharedStrings.xml><?xml version="1.0" encoding="utf-8"?>
<sst xmlns="http://schemas.openxmlformats.org/spreadsheetml/2006/main" count="159" uniqueCount="23">
  <si>
    <t>Electricity</t>
  </si>
  <si>
    <t>Total</t>
  </si>
  <si>
    <t>Direct emissions</t>
  </si>
  <si>
    <t>Scenario</t>
  </si>
  <si>
    <t>CAPEX</t>
  </si>
  <si>
    <t>Ammonia</t>
  </si>
  <si>
    <t>Hydrogen</t>
  </si>
  <si>
    <t>2-Ethylanthraquinone</t>
  </si>
  <si>
    <t>Heating</t>
  </si>
  <si>
    <t>Cooling</t>
  </si>
  <si>
    <r>
      <t>N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</t>
    </r>
  </si>
  <si>
    <r>
      <t>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</t>
    </r>
    <r>
      <rPr>
        <vertAlign val="subscript"/>
        <sz val="11"/>
        <color theme="1"/>
        <rFont val="Calibri"/>
        <family val="2"/>
        <scheme val="minor"/>
      </rPr>
      <t>2</t>
    </r>
  </si>
  <si>
    <t>Impact 2050</t>
  </si>
  <si>
    <t>1-step</t>
  </si>
  <si>
    <t>5-step</t>
  </si>
  <si>
    <t>Low</t>
  </si>
  <si>
    <t>High</t>
  </si>
  <si>
    <t>STDEV</t>
  </si>
  <si>
    <t>Benzene</t>
  </si>
  <si>
    <t>Nitrous oxide</t>
  </si>
  <si>
    <t>Hydrogen peroxide</t>
  </si>
  <si>
    <t>BAU</t>
  </si>
  <si>
    <t>Cumene oxidation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</si>
</sst>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2" xfId="0" applyFill="1" applyBorder="1" applyAlignment="1">
      <alignment horizontal="center"/>
    </xf>
    <xf numFmtId="11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2D7AC-519A-4A4C-AA2B-CCC4343D31E9}">
  <dimension ref="A1:M5"/>
  <sheetViews>
    <sheetView topLeftCell="A2" zoomScale="145" zoomScaleNormal="145" workbookViewId="0">
      <selection activeCell="C39" sqref="C39"/>
    </sheetView>
  </sheetViews>
  <sheetFormatPr defaultColWidth="8.85546875" defaultRowHeight="15" x14ac:dyDescent="0.25"/>
  <cols>
    <col min="1" max="1" width="2.28515625" bestFit="1" customWidth="1"/>
    <col min="2" max="2" width="8.5703125" bestFit="1" customWidth="1"/>
    <col min="3" max="3" width="9.7109375" bestFit="1" customWidth="1"/>
    <col min="4" max="4" width="9.85546875" bestFit="1" customWidth="1"/>
    <col min="5" max="5" width="10.42578125" customWidth="1"/>
    <col min="6" max="6" width="8.85546875" bestFit="1" customWidth="1"/>
    <col min="7" max="7" width="8.7109375" bestFit="1" customWidth="1"/>
    <col min="8" max="8" width="15.85546875" bestFit="1" customWidth="1"/>
    <col min="9" max="11" width="9.7109375" customWidth="1"/>
    <col min="12" max="12" width="11.7109375" bestFit="1" customWidth="1"/>
    <col min="13" max="13" width="8.42578125" bestFit="1" customWidth="1"/>
  </cols>
  <sheetData>
    <row r="1" spans="1:13" x14ac:dyDescent="0.25">
      <c r="B1" s="1" t="s">
        <v>3</v>
      </c>
      <c r="C1" s="1" t="s">
        <v>5</v>
      </c>
      <c r="D1" s="1" t="s">
        <v>0</v>
      </c>
      <c r="E1" s="1" t="s">
        <v>8</v>
      </c>
      <c r="F1" s="1" t="s">
        <v>9</v>
      </c>
      <c r="G1" s="1" t="s">
        <v>4</v>
      </c>
      <c r="H1" s="1" t="s">
        <v>2</v>
      </c>
      <c r="I1" s="3" t="s">
        <v>1</v>
      </c>
      <c r="J1" s="3" t="s">
        <v>15</v>
      </c>
      <c r="K1" s="3" t="s">
        <v>16</v>
      </c>
      <c r="L1" s="4" t="s">
        <v>12</v>
      </c>
      <c r="M1" s="3" t="s">
        <v>17</v>
      </c>
    </row>
    <row r="2" spans="1:13" x14ac:dyDescent="0.25">
      <c r="A2" s="2">
        <v>0</v>
      </c>
      <c r="B2" s="1" t="s">
        <v>13</v>
      </c>
      <c r="C2" s="6">
        <v>3.8462665926541956E-6</v>
      </c>
      <c r="D2" s="6">
        <v>6.495188282077435E-8</v>
      </c>
      <c r="E2" s="6">
        <v>0</v>
      </c>
      <c r="F2" s="6">
        <v>6.6501682451197094E-8</v>
      </c>
      <c r="G2" s="6">
        <v>0</v>
      </c>
      <c r="H2" s="6">
        <v>1.3227110904370743E-13</v>
      </c>
      <c r="I2" s="6">
        <f>SUM(C2:H2)</f>
        <v>3.9777202901972754E-6</v>
      </c>
      <c r="J2" s="6">
        <f>I2-2*M2</f>
        <v>-8.471607346696841E-6</v>
      </c>
      <c r="K2" s="6">
        <f>I2+2*M2</f>
        <v>1.642704792709139E-5</v>
      </c>
      <c r="L2" s="6">
        <v>3.7139652866376811E-6</v>
      </c>
      <c r="M2" s="6">
        <v>6.2246638184470578E-6</v>
      </c>
    </row>
    <row r="3" spans="1:13" x14ac:dyDescent="0.25">
      <c r="A3" s="2">
        <f>A2+1</f>
        <v>1</v>
      </c>
      <c r="B3" s="1" t="s">
        <v>14</v>
      </c>
      <c r="C3" s="6">
        <v>4.2034019191389813E-6</v>
      </c>
      <c r="D3" s="6">
        <v>7.0711513120549328E-7</v>
      </c>
      <c r="E3" s="6">
        <v>2.1218154717425109E-8</v>
      </c>
      <c r="F3" s="6">
        <v>1.8815530663453229E-7</v>
      </c>
      <c r="G3" s="6">
        <v>0</v>
      </c>
      <c r="H3" s="6">
        <v>4.777354916606239E-6</v>
      </c>
      <c r="I3" s="6">
        <f>SUM(C3:H3)</f>
        <v>9.897245428302671E-6</v>
      </c>
      <c r="J3" s="6">
        <f>I3-2*M3</f>
        <v>-3.8390262564180992E-6</v>
      </c>
      <c r="K3" s="6">
        <f t="shared" ref="K3:K5" si="0">I3+2*M3</f>
        <v>2.3633517113023441E-5</v>
      </c>
      <c r="L3" s="6">
        <v>9.0408477800659347E-6</v>
      </c>
      <c r="M3" s="6">
        <v>6.8681358423603851E-6</v>
      </c>
    </row>
    <row r="4" spans="1:13" x14ac:dyDescent="0.25">
      <c r="A4" s="2">
        <f t="shared" ref="A4:A5" si="1">A3+1</f>
        <v>2</v>
      </c>
      <c r="B4" s="1" t="s">
        <v>13</v>
      </c>
      <c r="C4" s="6">
        <v>2.1703142516693542E-6</v>
      </c>
      <c r="D4" s="6">
        <f t="shared" ref="D4:H5" si="2">D2</f>
        <v>6.495188282077435E-8</v>
      </c>
      <c r="E4" s="6">
        <f t="shared" si="2"/>
        <v>0</v>
      </c>
      <c r="F4" s="6">
        <f t="shared" si="2"/>
        <v>6.6501682451197094E-8</v>
      </c>
      <c r="G4" s="6">
        <f t="shared" si="2"/>
        <v>0</v>
      </c>
      <c r="H4" s="6">
        <f t="shared" si="2"/>
        <v>1.3227110904370743E-13</v>
      </c>
      <c r="I4" s="6">
        <f>SUM(C4:H4)</f>
        <v>2.3017679492124348E-6</v>
      </c>
      <c r="J4" s="6">
        <f>I4-2*M4</f>
        <v>-2.1368933590046049E-6</v>
      </c>
      <c r="K4" s="6">
        <f t="shared" si="0"/>
        <v>6.7404292574294741E-6</v>
      </c>
      <c r="L4" s="6">
        <v>1.4916210952498271E-6</v>
      </c>
      <c r="M4" s="6">
        <v>2.2193306541085198E-6</v>
      </c>
    </row>
    <row r="5" spans="1:13" x14ac:dyDescent="0.25">
      <c r="A5" s="2">
        <f t="shared" si="1"/>
        <v>3</v>
      </c>
      <c r="B5" s="1" t="s">
        <v>14</v>
      </c>
      <c r="C5" s="6">
        <v>2.3718332754221151E-6</v>
      </c>
      <c r="D5" s="6">
        <f t="shared" si="2"/>
        <v>7.0711513120549328E-7</v>
      </c>
      <c r="E5" s="6">
        <f t="shared" si="2"/>
        <v>2.1218154717425109E-8</v>
      </c>
      <c r="F5" s="6">
        <f t="shared" si="2"/>
        <v>1.8815530663453229E-7</v>
      </c>
      <c r="G5" s="6">
        <f t="shared" si="2"/>
        <v>0</v>
      </c>
      <c r="H5" s="6">
        <f t="shared" si="2"/>
        <v>4.777354916606239E-6</v>
      </c>
      <c r="I5" s="6">
        <f>SUM(C5:H5)</f>
        <v>8.0656767845858048E-6</v>
      </c>
      <c r="J5" s="6">
        <f>I5-2*M5</f>
        <v>3.2399738192174371E-6</v>
      </c>
      <c r="K5" s="6">
        <f t="shared" si="0"/>
        <v>1.2891379749954172E-5</v>
      </c>
      <c r="L5" s="6">
        <v>6.6121535724116264E-6</v>
      </c>
      <c r="M5" s="6">
        <v>2.4128514826841839E-6</v>
      </c>
    </row>
  </sheetData>
  <conditionalFormatting sqref="I2">
    <cfRule type="colorScale" priority="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"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">
    <cfRule type="colorScale" priority="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 I2"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">
    <cfRule type="colorScale" priority="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"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">
    <cfRule type="colorScale" priority="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:K2"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:K2"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"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 I3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:K3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:K3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4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4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4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4 I4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4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4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4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4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4:K4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4:K4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 I5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:K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:K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8E702-99DA-4889-8865-703E9688DFC1}">
  <dimension ref="A1:O5"/>
  <sheetViews>
    <sheetView zoomScale="130" zoomScaleNormal="130" workbookViewId="0">
      <selection activeCell="L12" sqref="L12"/>
    </sheetView>
  </sheetViews>
  <sheetFormatPr defaultColWidth="8.85546875" defaultRowHeight="15" x14ac:dyDescent="0.25"/>
  <cols>
    <col min="1" max="1" width="2.28515625" bestFit="1" customWidth="1"/>
    <col min="2" max="2" width="8.5703125" bestFit="1" customWidth="1"/>
    <col min="3" max="4" width="9.7109375" bestFit="1" customWidth="1"/>
    <col min="5" max="5" width="20.7109375" bestFit="1" customWidth="1"/>
    <col min="6" max="6" width="9.85546875" bestFit="1" customWidth="1"/>
    <col min="7" max="7" width="8.85546875" bestFit="1" customWidth="1"/>
    <col min="8" max="8" width="9.5703125" customWidth="1"/>
    <col min="9" max="9" width="8.85546875" bestFit="1" customWidth="1"/>
    <col min="10" max="10" width="15.85546875" bestFit="1" customWidth="1"/>
    <col min="11" max="11" width="9.5703125" customWidth="1"/>
    <col min="12" max="13" width="9.140625" bestFit="1" customWidth="1"/>
    <col min="14" max="14" width="12.28515625" bestFit="1" customWidth="1"/>
  </cols>
  <sheetData>
    <row r="1" spans="1:15" x14ac:dyDescent="0.25">
      <c r="B1" s="1" t="s">
        <v>3</v>
      </c>
      <c r="C1" s="1" t="s">
        <v>5</v>
      </c>
      <c r="D1" s="1" t="s">
        <v>6</v>
      </c>
      <c r="E1" s="1" t="s">
        <v>7</v>
      </c>
      <c r="F1" s="1" t="s">
        <v>0</v>
      </c>
      <c r="G1" s="1" t="s">
        <v>8</v>
      </c>
      <c r="H1" s="1" t="s">
        <v>9</v>
      </c>
      <c r="I1" s="1" t="s">
        <v>4</v>
      </c>
      <c r="J1" s="1" t="s">
        <v>2</v>
      </c>
      <c r="K1" s="3" t="s">
        <v>1</v>
      </c>
      <c r="L1" s="3" t="s">
        <v>15</v>
      </c>
      <c r="M1" s="3" t="s">
        <v>16</v>
      </c>
      <c r="N1" s="4" t="s">
        <v>12</v>
      </c>
      <c r="O1" s="3" t="s">
        <v>17</v>
      </c>
    </row>
    <row r="2" spans="1:15" ht="18" x14ac:dyDescent="0.35">
      <c r="A2" s="2">
        <v>0</v>
      </c>
      <c r="B2" s="1" t="s">
        <v>10</v>
      </c>
      <c r="C2" s="6">
        <v>3.8462665926541956E-6</v>
      </c>
      <c r="D2" s="6">
        <v>0</v>
      </c>
      <c r="E2" s="6">
        <v>0</v>
      </c>
      <c r="F2" s="6">
        <v>6.495188282077435E-8</v>
      </c>
      <c r="G2" s="6">
        <v>0</v>
      </c>
      <c r="H2" s="6">
        <v>6.6501682451197094E-8</v>
      </c>
      <c r="I2" s="6">
        <v>0</v>
      </c>
      <c r="J2" s="6">
        <v>1.3227110904370743E-13</v>
      </c>
      <c r="K2" s="6">
        <f>SUM(C2:J2)</f>
        <v>3.9777202901972754E-6</v>
      </c>
      <c r="L2" s="6">
        <f>K2-2*O2</f>
        <v>-8.471607346696841E-6</v>
      </c>
      <c r="M2" s="6">
        <f>K2+2*O2</f>
        <v>1.642704792709139E-5</v>
      </c>
      <c r="N2" s="6">
        <v>3.7139652866376811E-6</v>
      </c>
      <c r="O2" s="6">
        <v>6.2246638184470578E-6</v>
      </c>
    </row>
    <row r="3" spans="1:15" ht="18" x14ac:dyDescent="0.35">
      <c r="A3" s="2">
        <f>A2+1</f>
        <v>1</v>
      </c>
      <c r="B3" s="1" t="s">
        <v>11</v>
      </c>
      <c r="C3" s="6">
        <v>0</v>
      </c>
      <c r="D3" s="6">
        <v>1.0924484862414921E-6</v>
      </c>
      <c r="E3" s="6">
        <v>1.96781279173797E-7</v>
      </c>
      <c r="F3" s="6">
        <v>1.143688167118193E-7</v>
      </c>
      <c r="G3" s="6">
        <v>1.454449212829442E-7</v>
      </c>
      <c r="H3" s="6">
        <v>4.094456559691068E-8</v>
      </c>
      <c r="I3" s="6">
        <v>0</v>
      </c>
      <c r="J3" s="6">
        <v>1.1683619236706753E-8</v>
      </c>
      <c r="K3" s="6">
        <f>SUM(C3:J3)</f>
        <v>1.60167168824367E-6</v>
      </c>
      <c r="L3" s="6">
        <f>K3-2*O3</f>
        <v>1.1610292098719918E-6</v>
      </c>
      <c r="M3" s="6">
        <f>K3+2*O3</f>
        <v>2.0423141666153481E-6</v>
      </c>
      <c r="N3" s="6">
        <v>1.36529639201241E-6</v>
      </c>
      <c r="O3" s="6">
        <v>2.2032123918583913E-7</v>
      </c>
    </row>
    <row r="4" spans="1:15" ht="18" x14ac:dyDescent="0.35">
      <c r="A4" s="2">
        <f t="shared" ref="A4:A5" si="0">A3+1</f>
        <v>2</v>
      </c>
      <c r="B4" s="1" t="s">
        <v>10</v>
      </c>
      <c r="C4" s="6">
        <v>2.1703142516693542E-6</v>
      </c>
      <c r="D4" s="6">
        <f t="shared" ref="D4:J4" si="1">D2</f>
        <v>0</v>
      </c>
      <c r="E4" s="6">
        <f t="shared" si="1"/>
        <v>0</v>
      </c>
      <c r="F4" s="6">
        <f t="shared" si="1"/>
        <v>6.495188282077435E-8</v>
      </c>
      <c r="G4" s="6">
        <f t="shared" si="1"/>
        <v>0</v>
      </c>
      <c r="H4" s="6">
        <f t="shared" si="1"/>
        <v>6.6501682451197094E-8</v>
      </c>
      <c r="I4" s="6">
        <f t="shared" si="1"/>
        <v>0</v>
      </c>
      <c r="J4" s="6">
        <f t="shared" si="1"/>
        <v>1.3227110904370743E-13</v>
      </c>
      <c r="K4" s="6">
        <f>SUM(C4:J4)</f>
        <v>2.3017679492124348E-6</v>
      </c>
      <c r="L4" s="6">
        <f>K4-2*O4</f>
        <v>-2.1368933590046049E-6</v>
      </c>
      <c r="M4" s="6">
        <f>K4+2*O4</f>
        <v>6.7404292574294741E-6</v>
      </c>
      <c r="N4" s="6">
        <v>1.4916210952498271E-6</v>
      </c>
      <c r="O4" s="6">
        <v>2.2193306541085198E-6</v>
      </c>
    </row>
    <row r="5" spans="1:15" ht="18" x14ac:dyDescent="0.35">
      <c r="A5" s="2">
        <f t="shared" si="0"/>
        <v>3</v>
      </c>
      <c r="B5" s="1" t="s">
        <v>11</v>
      </c>
      <c r="C5" s="6">
        <v>0</v>
      </c>
      <c r="D5" s="6">
        <v>4.5307646214526129E-7</v>
      </c>
      <c r="E5" s="6">
        <f t="shared" ref="E5:J5" si="2">E3</f>
        <v>1.96781279173797E-7</v>
      </c>
      <c r="F5" s="6">
        <f t="shared" si="2"/>
        <v>1.143688167118193E-7</v>
      </c>
      <c r="G5" s="6">
        <f t="shared" si="2"/>
        <v>1.454449212829442E-7</v>
      </c>
      <c r="H5" s="6">
        <f t="shared" si="2"/>
        <v>4.094456559691068E-8</v>
      </c>
      <c r="I5" s="6">
        <f t="shared" si="2"/>
        <v>0</v>
      </c>
      <c r="J5" s="6">
        <f t="shared" si="2"/>
        <v>1.1683619236706753E-8</v>
      </c>
      <c r="K5" s="6">
        <f>SUM(C5:J5)</f>
        <v>9.6229966414743914E-7</v>
      </c>
      <c r="L5" s="6">
        <f>K5-2*O5</f>
        <v>-9.8477899284723423E-7</v>
      </c>
      <c r="M5" s="6">
        <f>K5+2*O5</f>
        <v>2.9093783211421127E-6</v>
      </c>
      <c r="N5" s="6">
        <v>7.6475092311779425E-7</v>
      </c>
      <c r="O5" s="6">
        <v>9.7353932849733668E-7</v>
      </c>
    </row>
  </sheetData>
  <conditionalFormatting sqref="K2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:M2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:M3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4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4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4:M4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:M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E17B7-02F7-4464-93D2-947490832843}">
  <dimension ref="A1:O6"/>
  <sheetViews>
    <sheetView zoomScale="130" zoomScaleNormal="130" workbookViewId="0">
      <selection activeCell="O15" sqref="O15"/>
    </sheetView>
  </sheetViews>
  <sheetFormatPr defaultColWidth="8.85546875" defaultRowHeight="15" x14ac:dyDescent="0.25"/>
  <cols>
    <col min="1" max="1" width="2.28515625" bestFit="1" customWidth="1"/>
    <col min="2" max="2" width="10.42578125" bestFit="1" customWidth="1"/>
    <col min="3" max="3" width="17.7109375" bestFit="1" customWidth="1"/>
    <col min="4" max="4" width="9.7109375" bestFit="1" customWidth="1"/>
    <col min="5" max="5" width="13.28515625" bestFit="1" customWidth="1"/>
    <col min="6" max="6" width="20.7109375" bestFit="1" customWidth="1"/>
    <col min="7" max="7" width="11.140625" customWidth="1"/>
    <col min="8" max="8" width="10.5703125" customWidth="1"/>
    <col min="9" max="9" width="9.140625" bestFit="1" customWidth="1"/>
    <col min="10" max="10" width="15.85546875" bestFit="1" customWidth="1"/>
    <col min="11" max="11" width="10.7109375" customWidth="1"/>
    <col min="12" max="12" width="9.42578125" bestFit="1" customWidth="1"/>
    <col min="13" max="13" width="9" bestFit="1" customWidth="1"/>
    <col min="14" max="14" width="11.5703125" bestFit="1" customWidth="1"/>
  </cols>
  <sheetData>
    <row r="1" spans="1:15" x14ac:dyDescent="0.25">
      <c r="B1" s="1" t="s">
        <v>3</v>
      </c>
      <c r="C1" s="1" t="s">
        <v>22</v>
      </c>
      <c r="D1" s="1" t="s">
        <v>18</v>
      </c>
      <c r="E1" s="1" t="s">
        <v>19</v>
      </c>
      <c r="F1" s="1" t="s">
        <v>20</v>
      </c>
      <c r="G1" s="1" t="s">
        <v>8</v>
      </c>
      <c r="H1" s="1" t="s">
        <v>9</v>
      </c>
      <c r="I1" s="1" t="s">
        <v>4</v>
      </c>
      <c r="J1" s="1" t="s">
        <v>2</v>
      </c>
      <c r="K1" s="3" t="s">
        <v>1</v>
      </c>
      <c r="L1" s="3" t="s">
        <v>15</v>
      </c>
      <c r="M1" s="3" t="s">
        <v>16</v>
      </c>
      <c r="N1" s="5" t="s">
        <v>12</v>
      </c>
      <c r="O1" s="3" t="s">
        <v>17</v>
      </c>
    </row>
    <row r="2" spans="1:15" x14ac:dyDescent="0.25">
      <c r="A2" s="2">
        <v>0</v>
      </c>
      <c r="B2" s="1" t="s">
        <v>21</v>
      </c>
      <c r="C2" s="6">
        <v>7.1235117057085702E-6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f>SUM(C2:J2)</f>
        <v>7.1235117057085702E-6</v>
      </c>
      <c r="L2" s="6">
        <f>K2-2*O2</f>
        <v>-1.0432457209177884E-6</v>
      </c>
      <c r="M2" s="6">
        <f>K2+2*O2</f>
        <v>1.5290269132334929E-5</v>
      </c>
      <c r="N2" s="6">
        <v>6.7870184742933498E-6</v>
      </c>
      <c r="O2" s="6">
        <v>4.0833787133131793E-6</v>
      </c>
    </row>
    <row r="3" spans="1:15" ht="18" x14ac:dyDescent="0.35">
      <c r="A3" s="2">
        <f>A2+1</f>
        <v>1</v>
      </c>
      <c r="B3" s="1" t="s">
        <v>10</v>
      </c>
      <c r="C3" s="6">
        <v>0</v>
      </c>
      <c r="D3" s="6">
        <v>3.209339364368367E-6</v>
      </c>
      <c r="E3" s="6">
        <v>1.8906104539307671E-6</v>
      </c>
      <c r="F3" s="6">
        <v>0</v>
      </c>
      <c r="G3" s="6">
        <v>9.6601805141380745E-7</v>
      </c>
      <c r="H3" s="6">
        <v>1.413171034263305E-8</v>
      </c>
      <c r="I3" s="6">
        <v>0</v>
      </c>
      <c r="J3" s="6">
        <v>1.470310347840596E-7</v>
      </c>
      <c r="K3" s="6">
        <f>SUM(C3:J3)</f>
        <v>6.2271306148396336E-6</v>
      </c>
      <c r="L3" s="6">
        <f>K3-2*O3</f>
        <v>-1.8308146146197073E-6</v>
      </c>
      <c r="M3" s="6">
        <f>K3+2*O3</f>
        <v>1.4285075844298974E-5</v>
      </c>
      <c r="N3" s="6">
        <v>5.607437023576284E-6</v>
      </c>
      <c r="O3" s="6">
        <v>4.0289726147296705E-6</v>
      </c>
    </row>
    <row r="4" spans="1:15" ht="18" x14ac:dyDescent="0.35">
      <c r="A4" s="2">
        <f>A3+1</f>
        <v>2</v>
      </c>
      <c r="B4" s="1" t="s">
        <v>11</v>
      </c>
      <c r="C4" s="6">
        <v>0</v>
      </c>
      <c r="D4" s="6">
        <v>3.5723026696686939E-6</v>
      </c>
      <c r="E4" s="6">
        <v>0</v>
      </c>
      <c r="F4" s="6">
        <v>7.6720073866871734E-7</v>
      </c>
      <c r="G4" s="6">
        <v>5.2316366853579964E-7</v>
      </c>
      <c r="H4" s="6">
        <v>7.1658998268341797E-8</v>
      </c>
      <c r="I4" s="6">
        <v>0</v>
      </c>
      <c r="J4" s="6">
        <v>8.5209354559767116E-14</v>
      </c>
      <c r="K4" s="6">
        <f>SUM(C4:J4)</f>
        <v>4.9343261603509075E-6</v>
      </c>
      <c r="L4" s="6">
        <f>K4-2*O4</f>
        <v>1.3919646771735482E-6</v>
      </c>
      <c r="M4" s="6">
        <f>K4+2*O4</f>
        <v>8.4766876435282663E-6</v>
      </c>
      <c r="N4" s="6">
        <v>4.2936618646544302E-6</v>
      </c>
      <c r="O4" s="6">
        <v>1.7711807415886796E-6</v>
      </c>
    </row>
    <row r="5" spans="1:15" ht="18" x14ac:dyDescent="0.35">
      <c r="A5" s="2">
        <f>A4+1</f>
        <v>3</v>
      </c>
      <c r="B5" s="1" t="s">
        <v>10</v>
      </c>
      <c r="C5" s="6">
        <f>C3</f>
        <v>0</v>
      </c>
      <c r="D5" s="6">
        <f>D3</f>
        <v>3.209339364368367E-6</v>
      </c>
      <c r="E5" s="6">
        <v>1.0940302782806381E-6</v>
      </c>
      <c r="F5" s="6">
        <f>F3</f>
        <v>0</v>
      </c>
      <c r="G5" s="6">
        <f>G3</f>
        <v>9.6601805141380745E-7</v>
      </c>
      <c r="H5" s="6">
        <f>H3</f>
        <v>1.413171034263305E-8</v>
      </c>
      <c r="I5" s="6">
        <f>I3</f>
        <v>0</v>
      </c>
      <c r="J5" s="6">
        <f>J3</f>
        <v>1.470310347840596E-7</v>
      </c>
      <c r="K5" s="6">
        <f>SUM(C5:J5)</f>
        <v>5.4305504391895046E-6</v>
      </c>
      <c r="L5" s="6">
        <f>K5-2*O5</f>
        <v>5.4735720943393767E-7</v>
      </c>
      <c r="M5" s="6">
        <f>K5+2*O5</f>
        <v>1.0313743668945072E-5</v>
      </c>
      <c r="N5" s="6">
        <v>4.5511567982545706E-6</v>
      </c>
      <c r="O5" s="6">
        <v>2.4415966148777835E-6</v>
      </c>
    </row>
    <row r="6" spans="1:15" ht="18" x14ac:dyDescent="0.35">
      <c r="A6" s="2">
        <f>A5+1</f>
        <v>4</v>
      </c>
      <c r="B6" s="1" t="s">
        <v>11</v>
      </c>
      <c r="C6" s="6">
        <f>C4</f>
        <v>0</v>
      </c>
      <c r="D6" s="6">
        <f>D4</f>
        <v>3.5723026696686939E-6</v>
      </c>
      <c r="E6" s="6">
        <f>E4</f>
        <v>0</v>
      </c>
      <c r="F6" s="6">
        <v>4.6094154878930109E-7</v>
      </c>
      <c r="G6" s="6">
        <f>G4</f>
        <v>5.2316366853579964E-7</v>
      </c>
      <c r="H6" s="6">
        <f>H4</f>
        <v>7.1658998268341797E-8</v>
      </c>
      <c r="I6" s="6">
        <f>I4</f>
        <v>0</v>
      </c>
      <c r="J6" s="6">
        <f>J4</f>
        <v>8.5209354559767116E-14</v>
      </c>
      <c r="K6" s="6">
        <f>SUM(C6:J6)</f>
        <v>4.6280669704714908E-6</v>
      </c>
      <c r="L6" s="6">
        <f>K6-2*O6</f>
        <v>5.7786672182741131E-7</v>
      </c>
      <c r="M6" s="6">
        <f>K6+2*O6</f>
        <v>8.6782672191155694E-6</v>
      </c>
      <c r="N6" s="6">
        <v>4.0060005837652726E-6</v>
      </c>
      <c r="O6" s="6">
        <v>2.0251001243220397E-6</v>
      </c>
    </row>
  </sheetData>
  <conditionalFormatting sqref="K2:M2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:M3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4:M4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:M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6:M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55D3A-55B0-4E92-95F1-8391CFB417DD}">
  <dimension ref="A1:M5"/>
  <sheetViews>
    <sheetView zoomScale="145" zoomScaleNormal="145" workbookViewId="0">
      <selection activeCell="Q8" sqref="Q8"/>
    </sheetView>
  </sheetViews>
  <sheetFormatPr defaultColWidth="8.85546875" defaultRowHeight="15" x14ac:dyDescent="0.25"/>
  <cols>
    <col min="1" max="1" width="2.28515625" bestFit="1" customWidth="1"/>
    <col min="2" max="2" width="8.5703125" bestFit="1" customWidth="1"/>
    <col min="3" max="3" width="9.7109375" bestFit="1" customWidth="1"/>
    <col min="4" max="4" width="9.85546875" bestFit="1" customWidth="1"/>
    <col min="5" max="5" width="10.42578125" customWidth="1"/>
    <col min="6" max="6" width="8.42578125" bestFit="1" customWidth="1"/>
    <col min="7" max="7" width="8.7109375" bestFit="1" customWidth="1"/>
    <col min="8" max="8" width="15.85546875" bestFit="1" customWidth="1"/>
    <col min="9" max="11" width="9.7109375" customWidth="1"/>
    <col min="12" max="12" width="11.7109375" bestFit="1" customWidth="1"/>
    <col min="13" max="13" width="8.42578125" bestFit="1" customWidth="1"/>
  </cols>
  <sheetData>
    <row r="1" spans="1:13" x14ac:dyDescent="0.25">
      <c r="B1" s="1" t="s">
        <v>3</v>
      </c>
      <c r="C1" s="1" t="s">
        <v>5</v>
      </c>
      <c r="D1" s="1" t="s">
        <v>0</v>
      </c>
      <c r="E1" s="1" t="s">
        <v>8</v>
      </c>
      <c r="F1" s="1" t="s">
        <v>9</v>
      </c>
      <c r="G1" s="1" t="s">
        <v>4</v>
      </c>
      <c r="H1" s="1" t="s">
        <v>2</v>
      </c>
      <c r="I1" s="3" t="s">
        <v>1</v>
      </c>
      <c r="J1" s="3" t="s">
        <v>15</v>
      </c>
      <c r="K1" s="3" t="s">
        <v>16</v>
      </c>
      <c r="L1" s="4" t="s">
        <v>12</v>
      </c>
      <c r="M1" s="3" t="s">
        <v>17</v>
      </c>
    </row>
    <row r="2" spans="1:13" x14ac:dyDescent="0.25">
      <c r="A2" s="2">
        <v>0</v>
      </c>
      <c r="B2" s="1" t="s">
        <v>13</v>
      </c>
      <c r="C2" s="6">
        <v>1.047400907857117E-8</v>
      </c>
      <c r="D2" s="6">
        <v>1.426800163889526E-10</v>
      </c>
      <c r="E2" s="6">
        <v>0</v>
      </c>
      <c r="F2" s="6">
        <v>3.8902159766871993E-10</v>
      </c>
      <c r="G2" s="6">
        <v>0</v>
      </c>
      <c r="H2" s="6">
        <v>3.5002127767846665E-16</v>
      </c>
      <c r="I2" s="6">
        <f>SUM(C2:H2)</f>
        <v>1.1005711042650121E-8</v>
      </c>
      <c r="J2" s="6">
        <f>I2-2*M2</f>
        <v>7.8799127430994488E-9</v>
      </c>
      <c r="K2" s="6">
        <f>I2+2*M2</f>
        <v>1.4131509342200792E-8</v>
      </c>
      <c r="L2" s="6">
        <v>1.0431449917359721E-8</v>
      </c>
      <c r="M2" s="6">
        <v>1.5628991497753357E-9</v>
      </c>
    </row>
    <row r="3" spans="1:13" x14ac:dyDescent="0.25">
      <c r="A3" s="2">
        <f>A2+1</f>
        <v>1</v>
      </c>
      <c r="B3" s="1" t="s">
        <v>14</v>
      </c>
      <c r="C3" s="6">
        <v>1.1446546619006911E-8</v>
      </c>
      <c r="D3" s="6">
        <v>1.553322153688315E-9</v>
      </c>
      <c r="E3" s="6">
        <v>6.2506534841725526E-11</v>
      </c>
      <c r="F3" s="6">
        <v>1.1052441373182567E-9</v>
      </c>
      <c r="G3" s="6">
        <v>0</v>
      </c>
      <c r="H3" s="6">
        <v>1.3989316149299159E-8</v>
      </c>
      <c r="I3" s="6">
        <f>SUM(C3:H3)</f>
        <v>2.8156935594154369E-8</v>
      </c>
      <c r="J3" s="6">
        <f>I3-2*M3</f>
        <v>2.4721767498093592E-8</v>
      </c>
      <c r="K3" s="6">
        <f t="shared" ref="K3:K5" si="0">I3+2*M3</f>
        <v>3.1592103690215146E-8</v>
      </c>
      <c r="L3" s="6">
        <v>2.633075531345927E-8</v>
      </c>
      <c r="M3" s="6">
        <v>1.7175840480303883E-9</v>
      </c>
    </row>
    <row r="4" spans="1:13" x14ac:dyDescent="0.25">
      <c r="A4" s="2">
        <f t="shared" ref="A4:A5" si="1">A3+1</f>
        <v>2</v>
      </c>
      <c r="B4" s="1" t="s">
        <v>13</v>
      </c>
      <c r="C4" s="6">
        <v>5.4489061608738131E-9</v>
      </c>
      <c r="D4" s="6">
        <f t="shared" ref="D4:H5" si="2">D2</f>
        <v>1.426800163889526E-10</v>
      </c>
      <c r="E4" s="6">
        <f t="shared" si="2"/>
        <v>0</v>
      </c>
      <c r="F4" s="6">
        <f t="shared" si="2"/>
        <v>3.8902159766871993E-10</v>
      </c>
      <c r="G4" s="6">
        <f t="shared" si="2"/>
        <v>0</v>
      </c>
      <c r="H4" s="6">
        <f t="shared" si="2"/>
        <v>3.5002127767846665E-16</v>
      </c>
      <c r="I4" s="6">
        <f>SUM(C4:H4)</f>
        <v>5.9806081249527633E-9</v>
      </c>
      <c r="J4" s="6">
        <f>I4-2*M4</f>
        <v>2.8517739617079301E-9</v>
      </c>
      <c r="K4" s="6">
        <f t="shared" si="0"/>
        <v>9.1094422881975962E-9</v>
      </c>
      <c r="L4" s="6">
        <v>4.2205248964236864E-9</v>
      </c>
      <c r="M4" s="6">
        <v>1.5644170816224166E-9</v>
      </c>
    </row>
    <row r="5" spans="1:13" x14ac:dyDescent="0.25">
      <c r="A5" s="2">
        <f t="shared" si="1"/>
        <v>3</v>
      </c>
      <c r="B5" s="1" t="s">
        <v>14</v>
      </c>
      <c r="C5" s="6">
        <v>5.9548505185699911E-9</v>
      </c>
      <c r="D5" s="6">
        <f t="shared" si="2"/>
        <v>1.553322153688315E-9</v>
      </c>
      <c r="E5" s="6">
        <f t="shared" si="2"/>
        <v>6.2506534841725526E-11</v>
      </c>
      <c r="F5" s="6">
        <f t="shared" si="2"/>
        <v>1.1052441373182567E-9</v>
      </c>
      <c r="G5" s="6">
        <f t="shared" si="2"/>
        <v>0</v>
      </c>
      <c r="H5" s="6">
        <f t="shared" si="2"/>
        <v>1.3989316149299159E-8</v>
      </c>
      <c r="I5" s="6">
        <f>SUM(C5:H5)</f>
        <v>2.2665239493717451E-8</v>
      </c>
      <c r="J5" s="6">
        <f>I5-2*M5</f>
        <v>1.9201848105337911E-8</v>
      </c>
      <c r="K5" s="6">
        <f t="shared" si="0"/>
        <v>2.6128630882096991E-8</v>
      </c>
      <c r="L5" s="6">
        <v>1.9543130929721329E-8</v>
      </c>
      <c r="M5" s="6">
        <v>1.7316956941897705E-9</v>
      </c>
    </row>
  </sheetData>
  <conditionalFormatting sqref="I2">
    <cfRule type="colorScale" priority="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"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">
    <cfRule type="colorScale" priority="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 K2"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">
    <cfRule type="colorScale" priority="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"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">
    <cfRule type="colorScale" priority="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:K2"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:K2"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"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 K3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:K3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:K3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4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4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4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4 K4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4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4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4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4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4:K4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4:K4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 K5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:K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:K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99269-448A-4A52-B6A2-7C1644EF1221}">
  <dimension ref="A1:O5"/>
  <sheetViews>
    <sheetView zoomScale="145" zoomScaleNormal="145" workbookViewId="0">
      <selection activeCell="Q8" sqref="Q8"/>
    </sheetView>
  </sheetViews>
  <sheetFormatPr defaultColWidth="8.85546875" defaultRowHeight="15" x14ac:dyDescent="0.25"/>
  <cols>
    <col min="1" max="1" width="2.28515625" bestFit="1" customWidth="1"/>
    <col min="2" max="2" width="8.5703125" bestFit="1" customWidth="1"/>
    <col min="3" max="4" width="9.7109375" bestFit="1" customWidth="1"/>
    <col min="5" max="5" width="20.7109375" bestFit="1" customWidth="1"/>
    <col min="6" max="6" width="9.85546875" bestFit="1" customWidth="1"/>
    <col min="7" max="7" width="8.85546875" bestFit="1" customWidth="1"/>
    <col min="8" max="8" width="8.42578125" bestFit="1" customWidth="1"/>
    <col min="9" max="9" width="8.85546875" bestFit="1" customWidth="1"/>
    <col min="10" max="10" width="15.85546875" bestFit="1" customWidth="1"/>
    <col min="11" max="11" width="9.5703125" customWidth="1"/>
    <col min="12" max="13" width="9.140625" bestFit="1" customWidth="1"/>
    <col min="14" max="14" width="12.28515625" bestFit="1" customWidth="1"/>
  </cols>
  <sheetData>
    <row r="1" spans="1:15" x14ac:dyDescent="0.25">
      <c r="B1" s="1" t="s">
        <v>3</v>
      </c>
      <c r="C1" s="1" t="s">
        <v>5</v>
      </c>
      <c r="D1" s="1" t="s">
        <v>6</v>
      </c>
      <c r="E1" s="1" t="s">
        <v>7</v>
      </c>
      <c r="F1" s="1" t="s">
        <v>0</v>
      </c>
      <c r="G1" s="1" t="s">
        <v>8</v>
      </c>
      <c r="H1" s="1" t="s">
        <v>9</v>
      </c>
      <c r="I1" s="1" t="s">
        <v>4</v>
      </c>
      <c r="J1" s="1" t="s">
        <v>2</v>
      </c>
      <c r="K1" s="3" t="s">
        <v>1</v>
      </c>
      <c r="L1" s="3" t="s">
        <v>15</v>
      </c>
      <c r="M1" s="3" t="s">
        <v>16</v>
      </c>
      <c r="N1" s="4" t="s">
        <v>12</v>
      </c>
      <c r="O1" s="3" t="s">
        <v>17</v>
      </c>
    </row>
    <row r="2" spans="1:15" ht="18" x14ac:dyDescent="0.35">
      <c r="A2" s="2">
        <v>0</v>
      </c>
      <c r="B2" s="1" t="s">
        <v>10</v>
      </c>
      <c r="C2" s="6">
        <v>1.047400907857117E-8</v>
      </c>
      <c r="D2" s="6">
        <v>0</v>
      </c>
      <c r="E2" s="6">
        <v>0</v>
      </c>
      <c r="F2" s="6">
        <v>1.426800163889526E-10</v>
      </c>
      <c r="G2" s="6">
        <v>0</v>
      </c>
      <c r="H2" s="6">
        <v>3.8902159766871993E-10</v>
      </c>
      <c r="I2" s="6">
        <v>0</v>
      </c>
      <c r="J2" s="6">
        <v>3.5002127767846665E-16</v>
      </c>
      <c r="K2" s="6">
        <f>SUM(C2:J2)</f>
        <v>1.1005711042650121E-8</v>
      </c>
      <c r="L2" s="6">
        <f>K2-2*O2</f>
        <v>7.8799127430994488E-9</v>
      </c>
      <c r="M2" s="6">
        <f>K2+2*O2</f>
        <v>1.4131509342200792E-8</v>
      </c>
      <c r="N2" s="6">
        <v>1.0431449917359721E-8</v>
      </c>
      <c r="O2" s="6">
        <v>1.5628991497753357E-9</v>
      </c>
    </row>
    <row r="3" spans="1:15" ht="18" x14ac:dyDescent="0.35">
      <c r="A3" s="2">
        <f>A2+1</f>
        <v>1</v>
      </c>
      <c r="B3" s="1" t="s">
        <v>11</v>
      </c>
      <c r="C3" s="6">
        <v>0</v>
      </c>
      <c r="D3" s="6">
        <v>3.0800738756254781E-9</v>
      </c>
      <c r="E3" s="6">
        <v>3.5514291126098676E-10</v>
      </c>
      <c r="F3" s="6">
        <v>2.5123435894622381E-10</v>
      </c>
      <c r="G3" s="6">
        <v>4.2846600756748658E-10</v>
      </c>
      <c r="H3" s="6">
        <v>2.4002751931543723E-10</v>
      </c>
      <c r="I3" s="6">
        <v>0</v>
      </c>
      <c r="J3" s="6">
        <v>4.4863573920437991E-11</v>
      </c>
      <c r="K3" s="6">
        <f>SUM(C3:J3)</f>
        <v>4.3998082466360506E-9</v>
      </c>
      <c r="L3" s="6">
        <f>K3-2*O3</f>
        <v>3.5075260538951693E-9</v>
      </c>
      <c r="M3" s="6">
        <f>K3+2*O3</f>
        <v>5.2920904393769315E-9</v>
      </c>
      <c r="N3" s="6">
        <v>3.9068474016593301E-9</v>
      </c>
      <c r="O3" s="6">
        <v>4.4614109637044067E-10</v>
      </c>
    </row>
    <row r="4" spans="1:15" ht="18" x14ac:dyDescent="0.35">
      <c r="A4" s="2">
        <f t="shared" ref="A4:A5" si="0">A3+1</f>
        <v>2</v>
      </c>
      <c r="B4" s="1" t="s">
        <v>10</v>
      </c>
      <c r="C4" s="6">
        <v>5.4489061608738131E-9</v>
      </c>
      <c r="D4" s="6">
        <f t="shared" ref="D4:J5" si="1">D2</f>
        <v>0</v>
      </c>
      <c r="E4" s="6">
        <f t="shared" si="1"/>
        <v>0</v>
      </c>
      <c r="F4" s="6">
        <f t="shared" si="1"/>
        <v>1.426800163889526E-10</v>
      </c>
      <c r="G4" s="6">
        <f t="shared" si="1"/>
        <v>0</v>
      </c>
      <c r="H4" s="6">
        <f t="shared" si="1"/>
        <v>3.8902159766871993E-10</v>
      </c>
      <c r="I4" s="6">
        <f t="shared" si="1"/>
        <v>0</v>
      </c>
      <c r="J4" s="6">
        <f t="shared" si="1"/>
        <v>3.5002127767846665E-16</v>
      </c>
      <c r="K4" s="6">
        <f>SUM(C4:J4)</f>
        <v>5.9806081249527633E-9</v>
      </c>
      <c r="L4" s="6">
        <f>K4-2*O4</f>
        <v>2.8517739617079301E-9</v>
      </c>
      <c r="M4" s="6">
        <f>K4+2*O4</f>
        <v>9.1094422881975962E-9</v>
      </c>
      <c r="N4" s="6">
        <v>4.2205248964236864E-9</v>
      </c>
      <c r="O4" s="6">
        <v>1.5644170816224166E-9</v>
      </c>
    </row>
    <row r="5" spans="1:15" ht="18" x14ac:dyDescent="0.35">
      <c r="A5" s="2">
        <f t="shared" si="0"/>
        <v>3</v>
      </c>
      <c r="B5" s="1" t="s">
        <v>11</v>
      </c>
      <c r="C5" s="6">
        <f>C3</f>
        <v>0</v>
      </c>
      <c r="D5" s="6">
        <v>9.0666952173997128E-10</v>
      </c>
      <c r="E5" s="6">
        <f t="shared" si="1"/>
        <v>3.5514291126098676E-10</v>
      </c>
      <c r="F5" s="6">
        <f t="shared" si="1"/>
        <v>2.5123435894622381E-10</v>
      </c>
      <c r="G5" s="6">
        <f t="shared" si="1"/>
        <v>4.2846600756748658E-10</v>
      </c>
      <c r="H5" s="6">
        <f t="shared" si="1"/>
        <v>2.4002751931543723E-10</v>
      </c>
      <c r="I5" s="6">
        <f t="shared" si="1"/>
        <v>0</v>
      </c>
      <c r="J5" s="6">
        <f t="shared" si="1"/>
        <v>4.4863573920437991E-11</v>
      </c>
      <c r="K5" s="6">
        <f>SUM(C5:J5)</f>
        <v>2.2264038927505433E-9</v>
      </c>
      <c r="L5" s="6">
        <f>K5-2*O5</f>
        <v>9.9844087906239895E-10</v>
      </c>
      <c r="M5" s="6">
        <f>K5+2*O5</f>
        <v>3.4543669064386876E-9</v>
      </c>
      <c r="N5" s="6">
        <v>1.79041214490956E-9</v>
      </c>
      <c r="O5" s="6">
        <v>6.1398150684407217E-10</v>
      </c>
    </row>
  </sheetData>
  <conditionalFormatting sqref="K2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:M2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:M3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4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4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4:M4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:M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64654-2D16-4682-A7F1-5902A634851F}">
  <dimension ref="A1:O6"/>
  <sheetViews>
    <sheetView tabSelected="1" zoomScale="115" zoomScaleNormal="115" workbookViewId="0">
      <selection activeCell="H42" sqref="H42"/>
    </sheetView>
  </sheetViews>
  <sheetFormatPr defaultColWidth="8.85546875" defaultRowHeight="15" x14ac:dyDescent="0.25"/>
  <cols>
    <col min="1" max="1" width="2.28515625" bestFit="1" customWidth="1"/>
    <col min="2" max="2" width="10.42578125" bestFit="1" customWidth="1"/>
    <col min="3" max="3" width="17.7109375" bestFit="1" customWidth="1"/>
    <col min="4" max="4" width="9.7109375" bestFit="1" customWidth="1"/>
    <col min="5" max="5" width="13.28515625" bestFit="1" customWidth="1"/>
    <col min="6" max="6" width="20.7109375" bestFit="1" customWidth="1"/>
    <col min="7" max="7" width="11.140625" customWidth="1"/>
    <col min="8" max="8" width="10.5703125" customWidth="1"/>
    <col min="9" max="9" width="9.140625" bestFit="1" customWidth="1"/>
    <col min="10" max="10" width="15.85546875" bestFit="1" customWidth="1"/>
    <col min="11" max="11" width="10.7109375" customWidth="1"/>
    <col min="12" max="13" width="9" bestFit="1" customWidth="1"/>
    <col min="14" max="14" width="11.5703125" bestFit="1" customWidth="1"/>
  </cols>
  <sheetData>
    <row r="1" spans="1:15" x14ac:dyDescent="0.25">
      <c r="B1" s="1" t="s">
        <v>3</v>
      </c>
      <c r="C1" s="1" t="s">
        <v>22</v>
      </c>
      <c r="D1" s="1" t="s">
        <v>18</v>
      </c>
      <c r="E1" s="1" t="s">
        <v>19</v>
      </c>
      <c r="F1" s="1" t="s">
        <v>20</v>
      </c>
      <c r="G1" s="1" t="s">
        <v>8</v>
      </c>
      <c r="H1" s="1" t="s">
        <v>9</v>
      </c>
      <c r="I1" s="1" t="s">
        <v>4</v>
      </c>
      <c r="J1" s="1" t="s">
        <v>2</v>
      </c>
      <c r="K1" s="3" t="s">
        <v>1</v>
      </c>
      <c r="L1" s="3" t="s">
        <v>15</v>
      </c>
      <c r="M1" s="3" t="s">
        <v>16</v>
      </c>
      <c r="N1" s="5" t="s">
        <v>12</v>
      </c>
      <c r="O1" s="3" t="s">
        <v>17</v>
      </c>
    </row>
    <row r="2" spans="1:15" x14ac:dyDescent="0.25">
      <c r="A2" s="2">
        <v>0</v>
      </c>
      <c r="B2" s="1" t="s">
        <v>21</v>
      </c>
      <c r="C2" s="6">
        <v>2.05445890309526E-8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f>SUM(C2:J2)</f>
        <v>2.05445890309526E-8</v>
      </c>
      <c r="L2" s="6">
        <f>K2-2*O2</f>
        <v>7.5594052424839749E-9</v>
      </c>
      <c r="M2" s="6">
        <f>K2+2*O2</f>
        <v>3.3529772819421225E-8</v>
      </c>
      <c r="N2" s="6">
        <v>2.0059233101041799E-8</v>
      </c>
      <c r="O2" s="6">
        <v>6.4925918942343125E-9</v>
      </c>
    </row>
    <row r="3" spans="1:15" ht="18" x14ac:dyDescent="0.35">
      <c r="A3" s="2">
        <f>A2+1</f>
        <v>1</v>
      </c>
      <c r="B3" s="1" t="s">
        <v>10</v>
      </c>
      <c r="C3" s="6">
        <v>0</v>
      </c>
      <c r="D3" s="6">
        <v>1.211448928803419E-8</v>
      </c>
      <c r="E3" s="6">
        <v>5.2310144585716131E-9</v>
      </c>
      <c r="F3" s="6">
        <v>0</v>
      </c>
      <c r="G3" s="6">
        <v>2.8457913420173489E-9</v>
      </c>
      <c r="H3" s="6">
        <v>8.3222705627872596E-11</v>
      </c>
      <c r="I3" s="6">
        <v>0</v>
      </c>
      <c r="J3" s="6">
        <v>4.2530651040363479E-10</v>
      </c>
      <c r="K3" s="6">
        <f>SUM(C3:J3)</f>
        <v>2.069982430465466E-8</v>
      </c>
      <c r="L3" s="6">
        <f>K3-2*O3</f>
        <v>1.0543559791240603E-8</v>
      </c>
      <c r="M3" s="6">
        <f>K3+2*O3</f>
        <v>3.0856088818068719E-8</v>
      </c>
      <c r="N3" s="6">
        <v>1.950517479633842E-8</v>
      </c>
      <c r="O3" s="6">
        <v>5.0781322567070286E-9</v>
      </c>
    </row>
    <row r="4" spans="1:15" ht="18" x14ac:dyDescent="0.35">
      <c r="A4" s="2">
        <f>A3+1</f>
        <v>2</v>
      </c>
      <c r="B4" s="1" t="s">
        <v>11</v>
      </c>
      <c r="C4" s="6">
        <v>0</v>
      </c>
      <c r="D4" s="6">
        <v>1.348458904215466E-8</v>
      </c>
      <c r="E4" s="6">
        <v>0</v>
      </c>
      <c r="F4" s="6">
        <v>2.1075081501386699E-9</v>
      </c>
      <c r="G4" s="6">
        <v>1.541187181956145E-9</v>
      </c>
      <c r="H4" s="6">
        <v>4.2148523131447929E-10</v>
      </c>
      <c r="I4" s="6">
        <v>0</v>
      </c>
      <c r="J4" s="6">
        <v>3.294384597782484E-16</v>
      </c>
      <c r="K4" s="6">
        <f>SUM(C4:J4)</f>
        <v>1.7554769935002414E-8</v>
      </c>
      <c r="L4" s="6">
        <f>K4-2*O4</f>
        <v>6.5215347354710442E-9</v>
      </c>
      <c r="M4" s="6">
        <f>K4+2*O4</f>
        <v>2.8588005134533782E-8</v>
      </c>
      <c r="N4" s="6">
        <v>1.633826559660251E-8</v>
      </c>
      <c r="O4" s="6">
        <v>5.5166175997656849E-9</v>
      </c>
    </row>
    <row r="5" spans="1:15" ht="18" x14ac:dyDescent="0.35">
      <c r="A5" s="2">
        <f>A4+1</f>
        <v>3</v>
      </c>
      <c r="B5" s="1" t="s">
        <v>10</v>
      </c>
      <c r="C5" s="6">
        <f>C3</f>
        <v>0</v>
      </c>
      <c r="D5" s="6">
        <f>D3</f>
        <v>1.211448928803419E-8</v>
      </c>
      <c r="E5" s="6">
        <v>2.8425829578959481E-9</v>
      </c>
      <c r="F5" s="6">
        <f>F3</f>
        <v>0</v>
      </c>
      <c r="G5" s="6">
        <f>G3</f>
        <v>2.8457913420173489E-9</v>
      </c>
      <c r="H5" s="6">
        <f>H3</f>
        <v>8.3222705627872596E-11</v>
      </c>
      <c r="I5" s="6">
        <f>I3</f>
        <v>0</v>
      </c>
      <c r="J5" s="6">
        <f>J3</f>
        <v>4.2530651040363479E-10</v>
      </c>
      <c r="K5" s="6">
        <f>SUM(C5:J5)</f>
        <v>1.8311392803978994E-8</v>
      </c>
      <c r="L5" s="6">
        <f>K5-2*O5</f>
        <v>8.0894160934434447E-9</v>
      </c>
      <c r="M5" s="6">
        <f>K5+2*O5</f>
        <v>2.8533369514514543E-8</v>
      </c>
      <c r="N5" s="6">
        <v>1.6553122046816509E-8</v>
      </c>
      <c r="O5" s="6">
        <v>5.1109883552677747E-9</v>
      </c>
    </row>
    <row r="6" spans="1:15" ht="18" x14ac:dyDescent="0.35">
      <c r="A6" s="2">
        <f>A5+1</f>
        <v>4</v>
      </c>
      <c r="B6" s="1" t="s">
        <v>11</v>
      </c>
      <c r="C6" s="6">
        <f>C4</f>
        <v>0</v>
      </c>
      <c r="D6" s="6">
        <f>D4</f>
        <v>1.348458904215466E-8</v>
      </c>
      <c r="E6" s="6">
        <f>E4</f>
        <v>0</v>
      </c>
      <c r="F6" s="6">
        <v>1.066447497473655E-9</v>
      </c>
      <c r="G6" s="6">
        <f>G4</f>
        <v>1.541187181956145E-9</v>
      </c>
      <c r="H6" s="6">
        <f>H4</f>
        <v>4.2148523131447929E-10</v>
      </c>
      <c r="I6" s="6">
        <f>I4</f>
        <v>0</v>
      </c>
      <c r="J6" s="6">
        <f>J4</f>
        <v>3.294384597782484E-16</v>
      </c>
      <c r="K6" s="6">
        <f>SUM(C6:J6)</f>
        <v>1.6513709282337401E-8</v>
      </c>
      <c r="L6" s="6">
        <f>K6-2*O6</f>
        <v>5.3469076966531199E-9</v>
      </c>
      <c r="M6" s="6">
        <f>K6+2*O6</f>
        <v>2.768051086802168E-8</v>
      </c>
      <c r="N6" s="6">
        <v>1.5324493104077989E-8</v>
      </c>
      <c r="O6" s="6">
        <v>5.5834007928421404E-9</v>
      </c>
    </row>
  </sheetData>
  <conditionalFormatting sqref="K2:M2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:M3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4:M4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:M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6:M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76B61-571D-4721-A0B3-30A2E72562B7}">
  <dimension ref="A1:M5"/>
  <sheetViews>
    <sheetView zoomScale="145" zoomScaleNormal="145" workbookViewId="0">
      <selection activeCell="K15" sqref="K15"/>
    </sheetView>
  </sheetViews>
  <sheetFormatPr defaultColWidth="8.85546875" defaultRowHeight="15" x14ac:dyDescent="0.25"/>
  <cols>
    <col min="1" max="1" width="2.28515625" bestFit="1" customWidth="1"/>
    <col min="2" max="2" width="8.5703125" bestFit="1" customWidth="1"/>
    <col min="3" max="3" width="9.7109375" bestFit="1" customWidth="1"/>
    <col min="4" max="4" width="9.85546875" bestFit="1" customWidth="1"/>
    <col min="5" max="5" width="10.42578125" customWidth="1"/>
    <col min="6" max="6" width="8.85546875" bestFit="1" customWidth="1"/>
    <col min="7" max="7" width="8.7109375" bestFit="1" customWidth="1"/>
    <col min="8" max="8" width="15.85546875" bestFit="1" customWidth="1"/>
    <col min="9" max="11" width="9.7109375" customWidth="1"/>
    <col min="12" max="12" width="11.7109375" bestFit="1" customWidth="1"/>
    <col min="13" max="13" width="8.42578125" bestFit="1" customWidth="1"/>
  </cols>
  <sheetData>
    <row r="1" spans="1:13" x14ac:dyDescent="0.25">
      <c r="B1" s="1" t="s">
        <v>3</v>
      </c>
      <c r="C1" s="1" t="s">
        <v>5</v>
      </c>
      <c r="D1" s="1" t="s">
        <v>0</v>
      </c>
      <c r="E1" s="1" t="s">
        <v>8</v>
      </c>
      <c r="F1" s="1" t="s">
        <v>9</v>
      </c>
      <c r="G1" s="1" t="s">
        <v>4</v>
      </c>
      <c r="H1" s="1" t="s">
        <v>2</v>
      </c>
      <c r="I1" s="3" t="s">
        <v>1</v>
      </c>
      <c r="J1" s="3" t="s">
        <v>15</v>
      </c>
      <c r="K1" s="3" t="s">
        <v>16</v>
      </c>
      <c r="L1" s="4" t="s">
        <v>12</v>
      </c>
      <c r="M1" s="3" t="s">
        <v>17</v>
      </c>
    </row>
    <row r="2" spans="1:13" x14ac:dyDescent="0.25">
      <c r="A2" s="2">
        <v>0</v>
      </c>
      <c r="B2" s="1" t="s">
        <v>13</v>
      </c>
      <c r="C2" s="4">
        <v>0.20592118797698941</v>
      </c>
      <c r="D2" s="4">
        <v>1.4382446232559839E-3</v>
      </c>
      <c r="E2" s="4">
        <v>0</v>
      </c>
      <c r="F2" s="4">
        <v>9.4181066202794235E-5</v>
      </c>
      <c r="G2" s="4">
        <v>0</v>
      </c>
      <c r="H2" s="4">
        <v>7.2370434089918945E-9</v>
      </c>
      <c r="I2" s="4">
        <f>SUM(C2:H2)</f>
        <v>0.20745362090349159</v>
      </c>
      <c r="J2" s="4">
        <f>I2-2*M2</f>
        <v>0.15594292534877927</v>
      </c>
      <c r="K2" s="4">
        <f>I2+2*M2</f>
        <v>0.25896431645820395</v>
      </c>
      <c r="L2" s="4">
        <v>0.20315622757559629</v>
      </c>
      <c r="M2" s="4">
        <v>2.5755347777356167E-2</v>
      </c>
    </row>
    <row r="3" spans="1:13" x14ac:dyDescent="0.25">
      <c r="A3" s="2">
        <f>A2+1</f>
        <v>1</v>
      </c>
      <c r="B3" s="1" t="s">
        <v>14</v>
      </c>
      <c r="C3" s="4">
        <v>0.22504147746465811</v>
      </c>
      <c r="D3" s="4">
        <v>1.565781454381444E-2</v>
      </c>
      <c r="E3" s="4">
        <v>2.6328528500420881E-3</v>
      </c>
      <c r="F3" s="4">
        <v>2.2918581412834525E-4</v>
      </c>
      <c r="G3" s="4">
        <v>0</v>
      </c>
      <c r="H3" s="4">
        <v>0</v>
      </c>
      <c r="I3" s="4">
        <f>SUM(C3:H3)</f>
        <v>0.24356133067264296</v>
      </c>
      <c r="J3" s="4">
        <f>I3-2*M3</f>
        <v>0.18929814459278624</v>
      </c>
      <c r="K3" s="4">
        <f t="shared" ref="K3:K5" si="0">I3+2*M3</f>
        <v>0.29782451675249966</v>
      </c>
      <c r="L3" s="4">
        <v>0.23205387394359739</v>
      </c>
      <c r="M3" s="4">
        <v>2.7131593039928362E-2</v>
      </c>
    </row>
    <row r="4" spans="1:13" x14ac:dyDescent="0.25">
      <c r="A4" s="2">
        <f t="shared" ref="A4:A5" si="1">A3+1</f>
        <v>2</v>
      </c>
      <c r="B4" s="1" t="s">
        <v>13</v>
      </c>
      <c r="C4" s="4">
        <v>4.4281844692918147E-2</v>
      </c>
      <c r="D4" s="4">
        <f t="shared" ref="D4:H5" si="2">D2</f>
        <v>1.4382446232559839E-3</v>
      </c>
      <c r="E4" s="4">
        <f t="shared" si="2"/>
        <v>0</v>
      </c>
      <c r="F4" s="4">
        <f t="shared" si="2"/>
        <v>9.4181066202794235E-5</v>
      </c>
      <c r="G4" s="4">
        <f t="shared" si="2"/>
        <v>0</v>
      </c>
      <c r="H4" s="4">
        <f t="shared" si="2"/>
        <v>7.2370434089918945E-9</v>
      </c>
      <c r="I4" s="4">
        <f>SUM(C4:H4)</f>
        <v>4.5814277619420335E-2</v>
      </c>
      <c r="J4" s="4">
        <f>I4-2*M4</f>
        <v>6.6692439121499303E-3</v>
      </c>
      <c r="K4" s="4">
        <f t="shared" si="0"/>
        <v>8.495931132669074E-2</v>
      </c>
      <c r="L4" s="4">
        <v>3.5615206706605541E-2</v>
      </c>
      <c r="M4" s="4">
        <v>1.9572516853635202E-2</v>
      </c>
    </row>
    <row r="5" spans="1:13" x14ac:dyDescent="0.25">
      <c r="A5" s="2">
        <f t="shared" si="1"/>
        <v>3</v>
      </c>
      <c r="B5" s="1" t="s">
        <v>14</v>
      </c>
      <c r="C5" s="4">
        <v>4.8393523038864843E-2</v>
      </c>
      <c r="D5" s="4">
        <f t="shared" si="2"/>
        <v>1.565781454381444E-2</v>
      </c>
      <c r="E5" s="4">
        <f t="shared" si="2"/>
        <v>2.6328528500420881E-3</v>
      </c>
      <c r="F5" s="4">
        <f t="shared" si="2"/>
        <v>2.2918581412834525E-4</v>
      </c>
      <c r="G5" s="4">
        <f t="shared" si="2"/>
        <v>0</v>
      </c>
      <c r="H5" s="4">
        <f t="shared" si="2"/>
        <v>0</v>
      </c>
      <c r="I5" s="4">
        <f>SUM(C5:H5)</f>
        <v>6.6913376246849704E-2</v>
      </c>
      <c r="J5" s="4">
        <f>I5-2*M5</f>
        <v>2.0918031961258771E-2</v>
      </c>
      <c r="K5" s="4">
        <f t="shared" si="0"/>
        <v>0.11290872053244064</v>
      </c>
      <c r="L5" s="4">
        <v>4.8956265343691158E-2</v>
      </c>
      <c r="M5" s="4">
        <v>2.2997672142795467E-2</v>
      </c>
    </row>
  </sheetData>
  <conditionalFormatting sqref="I2">
    <cfRule type="colorScale" priority="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"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">
    <cfRule type="colorScale" priority="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 I2"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">
    <cfRule type="colorScale" priority="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"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">
    <cfRule type="colorScale" priority="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:K2"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:K2"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"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 I3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:K3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:K3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4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4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4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4 I4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4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4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4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4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4:K4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4:K4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 I5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:K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:K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C5A95-C6AA-4E27-9D2F-6034124B04AA}">
  <dimension ref="A1:O5"/>
  <sheetViews>
    <sheetView zoomScale="130" zoomScaleNormal="130" workbookViewId="0">
      <selection activeCell="O5" sqref="O5"/>
    </sheetView>
  </sheetViews>
  <sheetFormatPr defaultColWidth="8.85546875" defaultRowHeight="15" x14ac:dyDescent="0.25"/>
  <cols>
    <col min="1" max="1" width="2.28515625" bestFit="1" customWidth="1"/>
    <col min="2" max="2" width="8.5703125" bestFit="1" customWidth="1"/>
    <col min="3" max="4" width="9.7109375" bestFit="1" customWidth="1"/>
    <col min="5" max="5" width="20.7109375" bestFit="1" customWidth="1"/>
    <col min="6" max="6" width="9.85546875" bestFit="1" customWidth="1"/>
    <col min="7" max="7" width="8.85546875" bestFit="1" customWidth="1"/>
    <col min="8" max="8" width="9.5703125" customWidth="1"/>
    <col min="9" max="9" width="8.85546875" bestFit="1" customWidth="1"/>
    <col min="10" max="10" width="15.85546875" bestFit="1" customWidth="1"/>
    <col min="11" max="11" width="9.5703125" customWidth="1"/>
    <col min="12" max="13" width="9.140625" bestFit="1" customWidth="1"/>
    <col min="14" max="14" width="12.28515625" bestFit="1" customWidth="1"/>
  </cols>
  <sheetData>
    <row r="1" spans="1:15" x14ac:dyDescent="0.25">
      <c r="B1" s="1" t="s">
        <v>3</v>
      </c>
      <c r="C1" s="1" t="s">
        <v>5</v>
      </c>
      <c r="D1" s="1" t="s">
        <v>6</v>
      </c>
      <c r="E1" s="1" t="s">
        <v>7</v>
      </c>
      <c r="F1" s="1" t="s">
        <v>0</v>
      </c>
      <c r="G1" s="1" t="s">
        <v>8</v>
      </c>
      <c r="H1" s="1" t="s">
        <v>9</v>
      </c>
      <c r="I1" s="1" t="s">
        <v>4</v>
      </c>
      <c r="J1" s="1" t="s">
        <v>2</v>
      </c>
      <c r="K1" s="3" t="s">
        <v>1</v>
      </c>
      <c r="L1" s="3" t="s">
        <v>15</v>
      </c>
      <c r="M1" s="3" t="s">
        <v>16</v>
      </c>
      <c r="N1" s="4" t="s">
        <v>12</v>
      </c>
      <c r="O1" s="3" t="s">
        <v>17</v>
      </c>
    </row>
    <row r="2" spans="1:15" ht="18" x14ac:dyDescent="0.35">
      <c r="A2" s="2">
        <v>0</v>
      </c>
      <c r="B2" s="1" t="s">
        <v>10</v>
      </c>
      <c r="C2" s="4">
        <v>0.20592118797698941</v>
      </c>
      <c r="D2" s="4">
        <v>0</v>
      </c>
      <c r="E2" s="4">
        <v>0</v>
      </c>
      <c r="F2" s="4">
        <v>1.4382446232559839E-3</v>
      </c>
      <c r="G2" s="4">
        <v>0</v>
      </c>
      <c r="H2" s="4">
        <v>9.4181066202794235E-5</v>
      </c>
      <c r="I2" s="4">
        <v>0</v>
      </c>
      <c r="J2" s="4">
        <v>7.2370434089918945E-9</v>
      </c>
      <c r="K2" s="4">
        <f>SUM(C2:J2)</f>
        <v>0.20745362090349159</v>
      </c>
      <c r="L2" s="4">
        <f>K2-2*O2</f>
        <v>0.15594292534877927</v>
      </c>
      <c r="M2" s="4">
        <f>K2+2*O2</f>
        <v>0.25896431645820395</v>
      </c>
      <c r="N2" s="4">
        <v>0.20315622757559629</v>
      </c>
      <c r="O2" s="4">
        <v>2.5755347777356167E-2</v>
      </c>
    </row>
    <row r="3" spans="1:15" ht="18" x14ac:dyDescent="0.35">
      <c r="A3" s="2">
        <f>A2+1</f>
        <v>1</v>
      </c>
      <c r="B3" s="1" t="s">
        <v>11</v>
      </c>
      <c r="C3" s="4">
        <v>0</v>
      </c>
      <c r="D3" s="4">
        <v>9.1702235071893054E-2</v>
      </c>
      <c r="E3" s="4">
        <v>6.9644440747788638E-3</v>
      </c>
      <c r="F3" s="4">
        <v>2.5324952651151231E-3</v>
      </c>
      <c r="G3" s="4">
        <v>1.8047520183716359E-2</v>
      </c>
      <c r="H3" s="4">
        <v>5.3828862825173709E-5</v>
      </c>
      <c r="I3" s="4">
        <v>0</v>
      </c>
      <c r="J3" s="4">
        <v>0</v>
      </c>
      <c r="K3" s="4">
        <f>SUM(C3:J3)</f>
        <v>0.11930052345832858</v>
      </c>
      <c r="L3" s="4">
        <f>K3-2*O3</f>
        <v>9.2495883258114808E-2</v>
      </c>
      <c r="M3" s="4">
        <f>K3+2*O3</f>
        <v>0.14610516365854234</v>
      </c>
      <c r="N3" s="4">
        <v>0.1163657306218271</v>
      </c>
      <c r="O3" s="4">
        <v>1.3402320100106885E-2</v>
      </c>
    </row>
    <row r="4" spans="1:15" ht="18" x14ac:dyDescent="0.35">
      <c r="A4" s="2">
        <f t="shared" ref="A4:A5" si="0">A3+1</f>
        <v>2</v>
      </c>
      <c r="B4" s="1" t="s">
        <v>10</v>
      </c>
      <c r="C4" s="4">
        <v>4.4281844692918147E-2</v>
      </c>
      <c r="D4" s="4">
        <f t="shared" ref="D4:J4" si="1">D2</f>
        <v>0</v>
      </c>
      <c r="E4" s="4">
        <f t="shared" si="1"/>
        <v>0</v>
      </c>
      <c r="F4" s="4">
        <f t="shared" si="1"/>
        <v>1.4382446232559839E-3</v>
      </c>
      <c r="G4" s="4">
        <f t="shared" si="1"/>
        <v>0</v>
      </c>
      <c r="H4" s="4">
        <f t="shared" si="1"/>
        <v>9.4181066202794235E-5</v>
      </c>
      <c r="I4" s="4">
        <f t="shared" si="1"/>
        <v>0</v>
      </c>
      <c r="J4" s="4">
        <f t="shared" si="1"/>
        <v>7.2370434089918945E-9</v>
      </c>
      <c r="K4" s="4">
        <f>SUM(C4:J4)</f>
        <v>4.5814277619420335E-2</v>
      </c>
      <c r="L4" s="4">
        <f>K4-2*O4</f>
        <v>6.6692439121499303E-3</v>
      </c>
      <c r="M4" s="4">
        <f>K4+2*O4</f>
        <v>8.495931132669074E-2</v>
      </c>
      <c r="N4" s="4">
        <v>3.5615206706605541E-2</v>
      </c>
      <c r="O4" s="4">
        <v>1.9572516853635202E-2</v>
      </c>
    </row>
    <row r="5" spans="1:15" ht="18" x14ac:dyDescent="0.35">
      <c r="A5" s="2">
        <f t="shared" si="0"/>
        <v>3</v>
      </c>
      <c r="B5" s="1" t="s">
        <v>11</v>
      </c>
      <c r="C5" s="4">
        <f>C3</f>
        <v>0</v>
      </c>
      <c r="D5" s="4">
        <v>1.2968783433767291E-2</v>
      </c>
      <c r="E5" s="4">
        <f t="shared" ref="E5:J5" si="2">E3</f>
        <v>6.9644440747788638E-3</v>
      </c>
      <c r="F5" s="4">
        <f t="shared" si="2"/>
        <v>2.5324952651151231E-3</v>
      </c>
      <c r="G5" s="4">
        <f t="shared" si="2"/>
        <v>1.8047520183716359E-2</v>
      </c>
      <c r="H5" s="4">
        <f t="shared" si="2"/>
        <v>5.3828862825173709E-5</v>
      </c>
      <c r="I5" s="4">
        <f t="shared" si="2"/>
        <v>0</v>
      </c>
      <c r="J5" s="4">
        <f t="shared" si="2"/>
        <v>0</v>
      </c>
      <c r="K5" s="4">
        <f>SUM(C5:J5)</f>
        <v>4.0567071820202812E-2</v>
      </c>
      <c r="L5" s="4">
        <f>K5-2*O5</f>
        <v>2.2651528703196793E-2</v>
      </c>
      <c r="M5" s="4">
        <f>K5+2*O5</f>
        <v>5.8482614937208827E-2</v>
      </c>
      <c r="N5" s="4">
        <v>3.7912930778798648E-2</v>
      </c>
      <c r="O5" s="4">
        <v>8.9577715585030093E-3</v>
      </c>
    </row>
  </sheetData>
  <conditionalFormatting sqref="K2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:M2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:M3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4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4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4:M4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:M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937D6-4C61-4861-A1A8-C0DBFCA60867}">
  <dimension ref="A1:O6"/>
  <sheetViews>
    <sheetView zoomScale="115" zoomScaleNormal="115" workbookViewId="0">
      <selection activeCell="F22" sqref="F22"/>
    </sheetView>
  </sheetViews>
  <sheetFormatPr defaultColWidth="8.85546875" defaultRowHeight="15" x14ac:dyDescent="0.25"/>
  <cols>
    <col min="1" max="1" width="2.28515625" bestFit="1" customWidth="1"/>
    <col min="2" max="2" width="10.42578125" bestFit="1" customWidth="1"/>
    <col min="3" max="3" width="17.7109375" bestFit="1" customWidth="1"/>
    <col min="4" max="4" width="9.7109375" bestFit="1" customWidth="1"/>
    <col min="5" max="5" width="13.28515625" bestFit="1" customWidth="1"/>
    <col min="6" max="6" width="20.7109375" bestFit="1" customWidth="1"/>
    <col min="7" max="7" width="11.140625" customWidth="1"/>
    <col min="8" max="8" width="10.5703125" customWidth="1"/>
    <col min="9" max="9" width="9.140625" bestFit="1" customWidth="1"/>
    <col min="10" max="10" width="15.85546875" bestFit="1" customWidth="1"/>
    <col min="11" max="11" width="10.7109375" customWidth="1"/>
    <col min="12" max="13" width="9" bestFit="1" customWidth="1"/>
    <col min="14" max="14" width="11.5703125" bestFit="1" customWidth="1"/>
  </cols>
  <sheetData>
    <row r="1" spans="1:15" x14ac:dyDescent="0.25">
      <c r="B1" s="1" t="s">
        <v>3</v>
      </c>
      <c r="C1" s="1" t="s">
        <v>22</v>
      </c>
      <c r="D1" s="1" t="s">
        <v>18</v>
      </c>
      <c r="E1" s="1" t="s">
        <v>19</v>
      </c>
      <c r="F1" s="1" t="s">
        <v>20</v>
      </c>
      <c r="G1" s="1" t="s">
        <v>8</v>
      </c>
      <c r="H1" s="1" t="s">
        <v>9</v>
      </c>
      <c r="I1" s="1" t="s">
        <v>4</v>
      </c>
      <c r="J1" s="1" t="s">
        <v>2</v>
      </c>
      <c r="K1" s="3" t="s">
        <v>1</v>
      </c>
      <c r="L1" s="3" t="s">
        <v>15</v>
      </c>
      <c r="M1" s="3" t="s">
        <v>16</v>
      </c>
      <c r="N1" s="5" t="s">
        <v>12</v>
      </c>
      <c r="O1" s="3" t="s">
        <v>17</v>
      </c>
    </row>
    <row r="2" spans="1:15" x14ac:dyDescent="0.25">
      <c r="A2" s="2">
        <v>0</v>
      </c>
      <c r="B2" s="1" t="s">
        <v>21</v>
      </c>
      <c r="C2" s="4">
        <v>0.85583155418791701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f>SUM(C2:J2)</f>
        <v>0.85583155418791701</v>
      </c>
      <c r="L2" s="4">
        <f>K2-2*O2</f>
        <v>0.31644394113534402</v>
      </c>
      <c r="M2" s="4">
        <f>K2+2*O2</f>
        <v>1.3952191672404899</v>
      </c>
      <c r="N2" s="4">
        <v>0.847680992016281</v>
      </c>
      <c r="O2" s="4">
        <v>0.26969380652628649</v>
      </c>
    </row>
    <row r="3" spans="1:15" ht="18" x14ac:dyDescent="0.35">
      <c r="A3" s="2">
        <f>A2+1</f>
        <v>1</v>
      </c>
      <c r="B3" s="1" t="s">
        <v>10</v>
      </c>
      <c r="C3" s="4">
        <v>0</v>
      </c>
      <c r="D3" s="4">
        <v>0.52903309473071092</v>
      </c>
      <c r="E3" s="4">
        <v>9.8602706015429586E-2</v>
      </c>
      <c r="F3" s="4">
        <v>0</v>
      </c>
      <c r="G3" s="4">
        <v>0.11986826440511469</v>
      </c>
      <c r="H3" s="4">
        <v>1.5488657067344901E-5</v>
      </c>
      <c r="I3" s="4">
        <v>0</v>
      </c>
      <c r="J3" s="4">
        <v>0</v>
      </c>
      <c r="K3" s="4">
        <f>SUM(C3:J3)</f>
        <v>0.74751955380832247</v>
      </c>
      <c r="L3" s="4">
        <f>K3-2*O3</f>
        <v>0.49993110376225669</v>
      </c>
      <c r="M3" s="4">
        <f>K3+2*O3</f>
        <v>0.99510800385438825</v>
      </c>
      <c r="N3" s="4">
        <v>0.73771756313896863</v>
      </c>
      <c r="O3" s="4">
        <v>0.12379422502303288</v>
      </c>
    </row>
    <row r="4" spans="1:15" ht="18" x14ac:dyDescent="0.35">
      <c r="A4" s="2">
        <f>A3+1</f>
        <v>2</v>
      </c>
      <c r="B4" s="1" t="s">
        <v>11</v>
      </c>
      <c r="C4" s="4">
        <v>0</v>
      </c>
      <c r="D4" s="4">
        <v>0.5888645986248181</v>
      </c>
      <c r="E4" s="4">
        <v>0</v>
      </c>
      <c r="F4" s="4">
        <v>5.7144949463809207E-2</v>
      </c>
      <c r="G4" s="4">
        <v>6.4916717503797447E-2</v>
      </c>
      <c r="H4" s="4">
        <v>8.2779306599657719E-5</v>
      </c>
      <c r="I4" s="4">
        <v>0</v>
      </c>
      <c r="J4" s="4">
        <v>0</v>
      </c>
      <c r="K4" s="4">
        <f>SUM(C4:J4)</f>
        <v>0.71100904489902439</v>
      </c>
      <c r="L4" s="4">
        <f>K4-2*O4</f>
        <v>0.43027415087020443</v>
      </c>
      <c r="M4" s="4">
        <f>K4+2*O4</f>
        <v>0.9917439389278444</v>
      </c>
      <c r="N4" s="4">
        <v>0.70142493129074335</v>
      </c>
      <c r="O4" s="4">
        <v>0.14036744701440998</v>
      </c>
    </row>
    <row r="5" spans="1:15" ht="18" x14ac:dyDescent="0.35">
      <c r="A5" s="2">
        <f>A4+1</f>
        <v>3</v>
      </c>
      <c r="B5" s="1" t="s">
        <v>10</v>
      </c>
      <c r="C5" s="4">
        <f>C3</f>
        <v>0</v>
      </c>
      <c r="D5" s="4">
        <f>D3</f>
        <v>0.52903309473071092</v>
      </c>
      <c r="E5" s="4">
        <v>2.1775523453941049E-2</v>
      </c>
      <c r="F5" s="4">
        <f>F3</f>
        <v>0</v>
      </c>
      <c r="G5" s="4">
        <f>G3</f>
        <v>0.11986826440511469</v>
      </c>
      <c r="H5" s="4">
        <f>H3</f>
        <v>1.5488657067344901E-5</v>
      </c>
      <c r="I5" s="4">
        <f>I3</f>
        <v>0</v>
      </c>
      <c r="J5" s="4">
        <f>J3</f>
        <v>0</v>
      </c>
      <c r="K5" s="4">
        <f>SUM(C5:J5)</f>
        <v>0.67069237124683401</v>
      </c>
      <c r="L5" s="4">
        <f>K5-2*O5</f>
        <v>0.41941693344639219</v>
      </c>
      <c r="M5" s="4">
        <f>K5+2*O5</f>
        <v>0.92196780904727582</v>
      </c>
      <c r="N5" s="4">
        <v>0.65808531357117828</v>
      </c>
      <c r="O5" s="4">
        <v>0.12563771890022091</v>
      </c>
    </row>
    <row r="6" spans="1:15" ht="18" x14ac:dyDescent="0.35">
      <c r="A6" s="2">
        <f>A5+1</f>
        <v>4</v>
      </c>
      <c r="B6" s="1" t="s">
        <v>11</v>
      </c>
      <c r="C6" s="4">
        <f>C4</f>
        <v>0</v>
      </c>
      <c r="D6" s="4">
        <f>D4</f>
        <v>0.5888645986248181</v>
      </c>
      <c r="E6" s="4">
        <f>E4</f>
        <v>0</v>
      </c>
      <c r="F6" s="4">
        <v>1.9431627319026961E-2</v>
      </c>
      <c r="G6" s="4">
        <f>G4</f>
        <v>6.4916717503797447E-2</v>
      </c>
      <c r="H6" s="4">
        <f>H4</f>
        <v>8.2779306599657719E-5</v>
      </c>
      <c r="I6" s="4">
        <f>I4</f>
        <v>0</v>
      </c>
      <c r="J6" s="4">
        <f>J4</f>
        <v>0</v>
      </c>
      <c r="K6" s="4">
        <f>SUM(C6:J6)</f>
        <v>0.6732957227542421</v>
      </c>
      <c r="L6" s="4">
        <f>K6-2*O6</f>
        <v>0.40414051786855376</v>
      </c>
      <c r="M6" s="4">
        <f>K6+2*O6</f>
        <v>0.94245092763993044</v>
      </c>
      <c r="N6" s="4">
        <v>0.66384603999759106</v>
      </c>
      <c r="O6" s="4">
        <v>0.13457760244284417</v>
      </c>
    </row>
  </sheetData>
  <conditionalFormatting sqref="K2:M2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:M3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4:M4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:M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6:M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hh_1-step_vs_5-step</vt:lpstr>
      <vt:lpstr>hh_N_vs_H</vt:lpstr>
      <vt:lpstr>hh_phenol</vt:lpstr>
      <vt:lpstr>es_1-step_vs_5-step</vt:lpstr>
      <vt:lpstr>es_N_vs_H</vt:lpstr>
      <vt:lpstr>es_phenol</vt:lpstr>
      <vt:lpstr>nr_1-step_vs_5-step</vt:lpstr>
      <vt:lpstr>nr_N_vs_H</vt:lpstr>
      <vt:lpstr>nr_phenol</vt:lpstr>
    </vt:vector>
  </TitlesOfParts>
  <Company>ETH Zuerich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Patel  Bhargav</dc:creator>
  <cp:lastModifiedBy>Nabera  Abhinandan</cp:lastModifiedBy>
  <dcterms:created xsi:type="dcterms:W3CDTF">2019-11-19T09:30:23Z</dcterms:created>
  <dcterms:modified xsi:type="dcterms:W3CDTF">2025-06-20T07:02:58Z</dcterms:modified>
</cp:coreProperties>
</file>