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results\"/>
    </mc:Choice>
  </mc:AlternateContent>
  <xr:revisionPtr revIDLastSave="0" documentId="13_ncr:1_{324500AA-9169-4EB8-9A96-B3F18A3CC321}" xr6:coauthVersionLast="36" xr6:coauthVersionMax="36" xr10:uidLastSave="{00000000-0000-0000-0000-000000000000}"/>
  <bookViews>
    <workbookView xWindow="0" yWindow="0" windowWidth="28800" windowHeight="13125" xr2:uid="{BA5C6C5E-8C6D-4143-A1D5-EF086195B27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9" i="1" l="1"/>
  <c r="E9" i="1"/>
</calcChain>
</file>

<file path=xl/sharedStrings.xml><?xml version="1.0" encoding="utf-8"?>
<sst xmlns="http://schemas.openxmlformats.org/spreadsheetml/2006/main" count="12" uniqueCount="12">
  <si>
    <t>Here you have the data: - 2Au-PrOx</t>
  </si>
  <si>
    <t>Selectivity / -: N2O 0.887 N2 0.104 NO 0.009 at full conversion</t>
  </si>
  <si>
    <t>Productivity / kgN2O kgcat-1 h-1:  2.08956 (can be further increased - note that in this result is per hour, while in the table there is no reference to time) </t>
  </si>
  <si>
    <t>Metal content / wt%: 1.91</t>
  </si>
  <si>
    <t>Metal recovery / %: 99</t>
  </si>
  <si>
    <t>Productivity / kgN2O per kgCat per hr</t>
  </si>
  <si>
    <t>Metal content / wt%</t>
  </si>
  <si>
    <t>Metal recovery / %</t>
  </si>
  <si>
    <t>kg metal per kg N2O</t>
  </si>
  <si>
    <t>kg metal fed per kg N2O</t>
  </si>
  <si>
    <t>Total N2O production / kg N2O per kg catalyst</t>
  </si>
  <si>
    <t>100% recovery of PrOx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</si>
</sst>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70" fontId="0" fillId="2" borderId="1" xfId="0" applyNumberFormat="1" applyFill="1" applyBorder="1" applyAlignment="1">
      <alignment horizontal="center"/>
    </xf>
    <xf numFmtId="170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252B3-80EE-4C59-BFC3-E460B32D2F1E}">
  <dimension ref="A1:F9"/>
  <sheetViews>
    <sheetView tabSelected="1" workbookViewId="0">
      <selection activeCell="A7" sqref="A7"/>
    </sheetView>
  </sheetViews>
  <sheetFormatPr defaultRowHeight="15" x14ac:dyDescent="0.25"/>
  <cols>
    <col min="1" max="1" width="34.28515625" customWidth="1"/>
    <col min="2" max="2" width="42.140625" bestFit="1" customWidth="1"/>
    <col min="3" max="3" width="19.28515625" bestFit="1" customWidth="1"/>
    <col min="4" max="4" width="17.85546875" bestFit="1" customWidth="1"/>
    <col min="5" max="5" width="19" bestFit="1" customWidth="1"/>
    <col min="6" max="6" width="22.5703125" bestFit="1" customWidth="1"/>
  </cols>
  <sheetData>
    <row r="1" spans="1:6" ht="16.5" x14ac:dyDescent="0.3">
      <c r="A1" t="s">
        <v>0</v>
      </c>
      <c r="B1" s="1"/>
    </row>
    <row r="2" spans="1:6" x14ac:dyDescent="0.25">
      <c r="A2" t="s">
        <v>1</v>
      </c>
    </row>
    <row r="3" spans="1:6" x14ac:dyDescent="0.25">
      <c r="A3" t="s">
        <v>2</v>
      </c>
    </row>
    <row r="4" spans="1:6" x14ac:dyDescent="0.25">
      <c r="A4" t="s">
        <v>3</v>
      </c>
    </row>
    <row r="5" spans="1:6" x14ac:dyDescent="0.25">
      <c r="A5" t="s">
        <v>4</v>
      </c>
    </row>
    <row r="6" spans="1:6" x14ac:dyDescent="0.25">
      <c r="A6" t="s">
        <v>11</v>
      </c>
    </row>
    <row r="8" spans="1:6" x14ac:dyDescent="0.25">
      <c r="A8" s="4" t="s">
        <v>5</v>
      </c>
      <c r="B8" s="3" t="s">
        <v>10</v>
      </c>
      <c r="C8" s="3" t="s">
        <v>6</v>
      </c>
      <c r="D8" s="3" t="s">
        <v>7</v>
      </c>
      <c r="E8" s="3" t="s">
        <v>8</v>
      </c>
      <c r="F8" s="3" t="s">
        <v>9</v>
      </c>
    </row>
    <row r="9" spans="1:6" x14ac:dyDescent="0.25">
      <c r="A9" s="5">
        <v>2.0895600000000001</v>
      </c>
      <c r="B9" s="6">
        <v>2.0895600000000001</v>
      </c>
      <c r="C9" s="2">
        <v>1.91</v>
      </c>
      <c r="D9" s="2">
        <v>99</v>
      </c>
      <c r="E9" s="6">
        <f>C9/100/B9</f>
        <v>9.1406803346158992E-3</v>
      </c>
      <c r="F9" s="6">
        <f>E9*(100-D9)/100</f>
        <v>9.1406803346158989E-5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2025-03-04T13:46:36Z</dcterms:created>
  <dcterms:modified xsi:type="dcterms:W3CDTF">2025-03-05T10:02:19Z</dcterms:modified>
</cp:coreProperties>
</file>