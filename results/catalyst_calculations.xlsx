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731ECA7F-1DA7-4C0F-8613-B9F0009F36BD}" xr6:coauthVersionLast="36" xr6:coauthVersionMax="36" xr10:uidLastSave="{00000000-0000-0000-0000-000000000000}"/>
  <bookViews>
    <workbookView xWindow="0" yWindow="0" windowWidth="16200" windowHeight="9210" activeTab="1" xr2:uid="{BA5C6C5E-8C6D-4143-A1D5-EF086195B278}"/>
  </bookViews>
  <sheets>
    <sheet name="catalyst_N2O" sheetId="1" r:id="rId1"/>
    <sheet name="catalyst_H2O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3" l="1"/>
  <c r="B8" i="3"/>
  <c r="C8" i="3" s="1"/>
  <c r="A13" i="3" l="1"/>
  <c r="F8" i="3"/>
  <c r="G8" i="3" s="1"/>
  <c r="A18" i="3" l="1"/>
  <c r="A14" i="3"/>
  <c r="A20" i="1"/>
  <c r="A15" i="1" l="1"/>
  <c r="B10" i="1" l="1"/>
  <c r="C10" i="1" s="1"/>
  <c r="F10" i="1" l="1"/>
  <c r="G10" i="1" s="1"/>
  <c r="A16" i="1" s="1"/>
</calcChain>
</file>

<file path=xl/sharedStrings.xml><?xml version="1.0" encoding="utf-8"?>
<sst xmlns="http://schemas.openxmlformats.org/spreadsheetml/2006/main" count="48" uniqueCount="43">
  <si>
    <t>Here you have the data: - 2Au-PrOx</t>
  </si>
  <si>
    <t>Selectivity / -: N2O 0.887 N2 0.104 NO 0.009 at full conversion</t>
  </si>
  <si>
    <t>Metal content / wt%: 1.91</t>
  </si>
  <si>
    <t>Metal recovery / %: 99</t>
  </si>
  <si>
    <t>Metal content / wt%</t>
  </si>
  <si>
    <t>Metal recovery / %</t>
  </si>
  <si>
    <t>kg metal per kg N2O</t>
  </si>
  <si>
    <t>kg metal fed per kg N2O</t>
  </si>
  <si>
    <t>Total N2O production / kg N2O per kg catalyst</t>
  </si>
  <si>
    <t>100% recovery of PrOx</t>
  </si>
  <si>
    <t>kd: 0.001</t>
  </si>
  <si>
    <t>Cost of gold 2022</t>
  </si>
  <si>
    <t>troy oz per kg</t>
  </si>
  <si>
    <t>$ per kg N2O</t>
  </si>
  <si>
    <t>Impact of gold</t>
  </si>
  <si>
    <t>kg CO2e per kg gold</t>
  </si>
  <si>
    <t>$ per troy oz gold</t>
  </si>
  <si>
    <t>$ per kg gold</t>
  </si>
  <si>
    <t>kg CO2e per kg N2O</t>
  </si>
  <si>
    <t>STY / kgN2O kgcat-1 h-1:  2.08956 (can be further increased - note that in this result is per hour, while in the table there is no reference to time) </t>
  </si>
  <si>
    <t>Here you have the data: - Pd black</t>
  </si>
  <si>
    <t>kd: 0.00114</t>
  </si>
  <si>
    <t>Productivity / kg H2O2 per kgCat</t>
  </si>
  <si>
    <t>STY / kg H2O2 per kgCat per hr</t>
  </si>
  <si>
    <t>STY / kg N2O per kgCat per hr</t>
  </si>
  <si>
    <t>Productivity / kg N2O per kgCat</t>
  </si>
  <si>
    <t>Total H2O2 production / kg H2O2 per kgCat per hr</t>
  </si>
  <si>
    <t>Metal content / wt%: 0.3</t>
  </si>
  <si>
    <t>STY/ kgH2O2 kgcat-1 h-1:  66.67</t>
  </si>
  <si>
    <t>kg metal per kg H2O2</t>
  </si>
  <si>
    <t>kg metal fed per kg H2O2</t>
  </si>
  <si>
    <t>Cost of Pd 2022</t>
  </si>
  <si>
    <t>$ per troy oz Pd</t>
  </si>
  <si>
    <t>$ per kg H2O2</t>
  </si>
  <si>
    <t>Impact of palladium</t>
  </si>
  <si>
    <t>kg CO2e per kg palladium</t>
  </si>
  <si>
    <t>$ per kg Pd</t>
  </si>
  <si>
    <t>kg CO2e per kg H2O2</t>
  </si>
  <si>
    <t>Metal recovery / %: 95</t>
  </si>
  <si>
    <t>https://doi.org/10.1016/j.cep.2006.12.012</t>
  </si>
  <si>
    <t>https://pubs.acs.org/doi/10.1021/ie00026a016</t>
  </si>
  <si>
    <t>https://www.macrotrends.net/2542/palladium-prices-historical-chart-data</t>
  </si>
  <si>
    <t>World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</si>
</sst>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52B3-80EE-4C59-BFC3-E460B32D2F1E}">
  <dimension ref="A1:G20"/>
  <sheetViews>
    <sheetView topLeftCell="A4" zoomScale="145" zoomScaleNormal="145" workbookViewId="0">
      <selection activeCell="G10" sqref="G10"/>
    </sheetView>
  </sheetViews>
  <sheetFormatPr defaultRowHeight="15" x14ac:dyDescent="0.25"/>
  <cols>
    <col min="1" max="2" width="34.28515625" customWidth="1"/>
    <col min="3" max="3" width="42.140625" bestFit="1" customWidth="1"/>
    <col min="4" max="4" width="19.28515625" bestFit="1" customWidth="1"/>
    <col min="5" max="5" width="17.85546875" bestFit="1" customWidth="1"/>
    <col min="6" max="6" width="19" bestFit="1" customWidth="1"/>
    <col min="7" max="7" width="22.5703125" bestFit="1" customWidth="1"/>
  </cols>
  <sheetData>
    <row r="1" spans="1:7" ht="16.5" x14ac:dyDescent="0.3">
      <c r="A1" t="s">
        <v>0</v>
      </c>
      <c r="C1" s="1"/>
    </row>
    <row r="2" spans="1:7" x14ac:dyDescent="0.25">
      <c r="A2" t="s">
        <v>1</v>
      </c>
    </row>
    <row r="3" spans="1:7" x14ac:dyDescent="0.25">
      <c r="A3" t="s">
        <v>19</v>
      </c>
    </row>
    <row r="4" spans="1:7" x14ac:dyDescent="0.25">
      <c r="A4" t="s">
        <v>2</v>
      </c>
    </row>
    <row r="5" spans="1:7" x14ac:dyDescent="0.25">
      <c r="A5" t="s">
        <v>3</v>
      </c>
    </row>
    <row r="6" spans="1:7" x14ac:dyDescent="0.25">
      <c r="A6" t="s">
        <v>9</v>
      </c>
    </row>
    <row r="7" spans="1:7" x14ac:dyDescent="0.25">
      <c r="A7" t="s">
        <v>10</v>
      </c>
    </row>
    <row r="9" spans="1:7" x14ac:dyDescent="0.25">
      <c r="A9" s="4" t="s">
        <v>24</v>
      </c>
      <c r="B9" s="4" t="s">
        <v>25</v>
      </c>
      <c r="C9" s="3" t="s">
        <v>8</v>
      </c>
      <c r="D9" s="3" t="s">
        <v>4</v>
      </c>
      <c r="E9" s="3" t="s">
        <v>5</v>
      </c>
      <c r="F9" s="3" t="s">
        <v>6</v>
      </c>
      <c r="G9" s="3" t="s">
        <v>7</v>
      </c>
    </row>
    <row r="10" spans="1:7" x14ac:dyDescent="0.25">
      <c r="A10" s="5">
        <v>2.0895600000000001</v>
      </c>
      <c r="B10" s="6">
        <f>A10/0.001</f>
        <v>2089.56</v>
      </c>
      <c r="C10" s="7">
        <f>B10</f>
        <v>2089.56</v>
      </c>
      <c r="D10" s="2">
        <v>1.91</v>
      </c>
      <c r="E10" s="2">
        <v>99</v>
      </c>
      <c r="F10" s="8">
        <f>D10/100/C10</f>
        <v>9.1406803346158993E-6</v>
      </c>
      <c r="G10" s="8">
        <f>F10*(1-E10/100)</f>
        <v>9.1406803346159078E-8</v>
      </c>
    </row>
    <row r="12" spans="1:7" x14ac:dyDescent="0.25">
      <c r="A12" s="11" t="s">
        <v>11</v>
      </c>
    </row>
    <row r="13" spans="1:7" x14ac:dyDescent="0.25">
      <c r="A13" s="10">
        <v>1800.6025</v>
      </c>
      <c r="B13" t="s">
        <v>16</v>
      </c>
      <c r="C13" t="s">
        <v>42</v>
      </c>
    </row>
    <row r="14" spans="1:7" x14ac:dyDescent="0.25">
      <c r="A14" s="10">
        <v>32.150700000000001</v>
      </c>
      <c r="B14" t="s">
        <v>12</v>
      </c>
    </row>
    <row r="15" spans="1:7" x14ac:dyDescent="0.25">
      <c r="A15" s="10">
        <f>A13*A14</f>
        <v>57890.630796750003</v>
      </c>
      <c r="B15" t="s">
        <v>17</v>
      </c>
    </row>
    <row r="16" spans="1:7" x14ac:dyDescent="0.25">
      <c r="A16" s="12">
        <f>A15*G10</f>
        <v>5.2915975048236277E-3</v>
      </c>
      <c r="B16" s="9" t="s">
        <v>13</v>
      </c>
    </row>
    <row r="18" spans="1:2" x14ac:dyDescent="0.25">
      <c r="A18" s="11" t="s">
        <v>14</v>
      </c>
    </row>
    <row r="19" spans="1:2" x14ac:dyDescent="0.25">
      <c r="A19" s="10">
        <v>50268.611278060896</v>
      </c>
      <c r="B19" t="s">
        <v>15</v>
      </c>
    </row>
    <row r="20" spans="1:2" x14ac:dyDescent="0.25">
      <c r="A20" s="12">
        <f>A19*G10</f>
        <v>4.5948930655782269E-3</v>
      </c>
      <c r="B20" s="9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E742-6987-4C1C-A128-3A6EC1D88F41}">
  <dimension ref="A1:G18"/>
  <sheetViews>
    <sheetView tabSelected="1" zoomScale="130" zoomScaleNormal="130" workbookViewId="0">
      <selection activeCell="D19" sqref="D19"/>
    </sheetView>
  </sheetViews>
  <sheetFormatPr defaultRowHeight="15" x14ac:dyDescent="0.25"/>
  <cols>
    <col min="1" max="1" width="34.28515625" customWidth="1"/>
    <col min="2" max="2" width="40.7109375" bestFit="1" customWidth="1"/>
    <col min="3" max="3" width="42.140625" bestFit="1" customWidth="1"/>
    <col min="4" max="4" width="19.28515625" bestFit="1" customWidth="1"/>
    <col min="5" max="5" width="17.85546875" bestFit="1" customWidth="1"/>
    <col min="6" max="6" width="19" bestFit="1" customWidth="1"/>
    <col min="7" max="7" width="22.5703125" bestFit="1" customWidth="1"/>
  </cols>
  <sheetData>
    <row r="1" spans="1:7" ht="16.5" x14ac:dyDescent="0.3">
      <c r="A1" t="s">
        <v>20</v>
      </c>
      <c r="C1" s="1"/>
    </row>
    <row r="2" spans="1:7" x14ac:dyDescent="0.25">
      <c r="A2" t="s">
        <v>28</v>
      </c>
      <c r="B2" t="s">
        <v>39</v>
      </c>
    </row>
    <row r="3" spans="1:7" x14ac:dyDescent="0.25">
      <c r="A3" t="s">
        <v>27</v>
      </c>
      <c r="B3" t="s">
        <v>39</v>
      </c>
    </row>
    <row r="4" spans="1:7" x14ac:dyDescent="0.25">
      <c r="A4" t="s">
        <v>38</v>
      </c>
      <c r="B4" t="s">
        <v>39</v>
      </c>
    </row>
    <row r="5" spans="1:7" x14ac:dyDescent="0.25">
      <c r="A5" t="s">
        <v>21</v>
      </c>
      <c r="B5" t="s">
        <v>40</v>
      </c>
    </row>
    <row r="7" spans="1:7" x14ac:dyDescent="0.25">
      <c r="A7" s="4" t="s">
        <v>23</v>
      </c>
      <c r="B7" s="4" t="s">
        <v>22</v>
      </c>
      <c r="C7" s="3" t="s">
        <v>26</v>
      </c>
      <c r="D7" s="3" t="s">
        <v>4</v>
      </c>
      <c r="E7" s="3" t="s">
        <v>5</v>
      </c>
      <c r="F7" s="3" t="s">
        <v>29</v>
      </c>
      <c r="G7" s="3" t="s">
        <v>30</v>
      </c>
    </row>
    <row r="8" spans="1:7" x14ac:dyDescent="0.25">
      <c r="A8" s="5">
        <f>1600/24</f>
        <v>66.666666666666671</v>
      </c>
      <c r="B8" s="6">
        <f>A8/0.00114</f>
        <v>58479.532163742697</v>
      </c>
      <c r="C8" s="7">
        <f>B8</f>
        <v>58479.532163742697</v>
      </c>
      <c r="D8" s="2">
        <v>0.3</v>
      </c>
      <c r="E8" s="2">
        <v>95</v>
      </c>
      <c r="F8" s="8">
        <f>D8/100/C8</f>
        <v>5.1299999999999996E-8</v>
      </c>
      <c r="G8" s="8">
        <f>F8*(1-E8/100)</f>
        <v>2.5650000000000022E-9</v>
      </c>
    </row>
    <row r="10" spans="1:7" x14ac:dyDescent="0.25">
      <c r="A10" s="11" t="s">
        <v>31</v>
      </c>
    </row>
    <row r="11" spans="1:7" x14ac:dyDescent="0.25">
      <c r="A11" s="10">
        <v>2064.451599</v>
      </c>
      <c r="B11" t="s">
        <v>32</v>
      </c>
      <c r="C11" t="s">
        <v>41</v>
      </c>
    </row>
    <row r="12" spans="1:7" x14ac:dyDescent="0.25">
      <c r="A12" s="10">
        <v>32.150700000000001</v>
      </c>
      <c r="B12" t="s">
        <v>12</v>
      </c>
    </row>
    <row r="13" spans="1:7" x14ac:dyDescent="0.25">
      <c r="A13" s="10">
        <f>A11*A12</f>
        <v>66373.564023969302</v>
      </c>
      <c r="B13" t="s">
        <v>36</v>
      </c>
    </row>
    <row r="14" spans="1:7" x14ac:dyDescent="0.25">
      <c r="A14" s="12">
        <f>A13*G8</f>
        <v>1.702481917214814E-4</v>
      </c>
      <c r="B14" s="9" t="s">
        <v>33</v>
      </c>
    </row>
    <row r="16" spans="1:7" x14ac:dyDescent="0.25">
      <c r="A16" s="11" t="s">
        <v>34</v>
      </c>
    </row>
    <row r="17" spans="1:2" x14ac:dyDescent="0.25">
      <c r="A17" s="10">
        <v>11612.105017427701</v>
      </c>
      <c r="B17" t="s">
        <v>35</v>
      </c>
    </row>
    <row r="18" spans="1:2" x14ac:dyDescent="0.25">
      <c r="A18" s="12">
        <f>A17*G8</f>
        <v>2.9785049369702079E-5</v>
      </c>
      <c r="B18" s="9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catalyst_N2O</vt:lpstr>
      <vt:lpstr>catalyst_H2O2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2025-03-04T13:46:36Z</dcterms:created>
  <dcterms:modified xsi:type="dcterms:W3CDTF">2025-04-10T10:30:38Z</dcterms:modified>
</cp:coreProperties>
</file>