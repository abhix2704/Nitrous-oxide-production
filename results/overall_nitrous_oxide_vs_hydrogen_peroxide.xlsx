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6"/>
  <workbookPr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results\"/>
    </mc:Choice>
  </mc:AlternateContent>
  <xr:revisionPtr revIDLastSave="0" documentId="13_ncr:1_{DF67C075-1BF0-4BA4-BFB9-8BE7EE072914}" xr6:coauthVersionLast="36" xr6:coauthVersionMax="47" xr10:uidLastSave="{00000000-0000-0000-0000-000000000000}"/>
  <bookViews>
    <workbookView xWindow="0" yWindow="495" windowWidth="28800" windowHeight="17505" activeTab="3" xr2:uid="{00000000-000D-0000-FFFF-FFFF00000000}"/>
  </bookViews>
  <sheets>
    <sheet name="climate_change_per_kg" sheetId="15" r:id="rId1"/>
    <sheet name="climate_change_per_kmol" sheetId="14" r:id="rId2"/>
    <sheet name="economics_per_kg" sheetId="17" r:id="rId3"/>
    <sheet name="economics_per_kmol" sheetId="18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" i="14" l="1"/>
  <c r="L4" i="14"/>
  <c r="L3" i="14"/>
  <c r="L2" i="14"/>
  <c r="J5" i="18"/>
  <c r="I5" i="18"/>
  <c r="H5" i="18"/>
  <c r="G5" i="18"/>
  <c r="F5" i="18"/>
  <c r="E5" i="18"/>
  <c r="D5" i="18"/>
  <c r="C5" i="18"/>
  <c r="J3" i="18"/>
  <c r="I3" i="18"/>
  <c r="H3" i="18"/>
  <c r="G3" i="18"/>
  <c r="F3" i="18"/>
  <c r="E3" i="18"/>
  <c r="D3" i="18"/>
  <c r="C3" i="18"/>
  <c r="K5" i="18" s="1"/>
  <c r="J4" i="18"/>
  <c r="I4" i="18"/>
  <c r="H4" i="18"/>
  <c r="G4" i="18"/>
  <c r="F4" i="18"/>
  <c r="E4" i="18"/>
  <c r="D4" i="18"/>
  <c r="C4" i="18"/>
  <c r="J2" i="18"/>
  <c r="I2" i="18"/>
  <c r="H2" i="18"/>
  <c r="G2" i="18"/>
  <c r="F2" i="18"/>
  <c r="E2" i="18"/>
  <c r="K4" i="18" s="1"/>
  <c r="D2" i="18"/>
  <c r="C2" i="18"/>
  <c r="K2" i="18" s="1"/>
  <c r="A3" i="18"/>
  <c r="A4" i="18" s="1"/>
  <c r="A5" i="18" s="1"/>
  <c r="K3" i="18" l="1"/>
  <c r="C5" i="17" l="1"/>
  <c r="J5" i="17"/>
  <c r="I5" i="17"/>
  <c r="H5" i="17"/>
  <c r="G5" i="17"/>
  <c r="F5" i="17"/>
  <c r="E5" i="17"/>
  <c r="H4" i="17"/>
  <c r="J4" i="17"/>
  <c r="I4" i="17"/>
  <c r="G4" i="17"/>
  <c r="F4" i="17"/>
  <c r="E4" i="17"/>
  <c r="D4" i="17"/>
  <c r="K5" i="17" l="1"/>
  <c r="K4" i="17"/>
  <c r="K3" i="17"/>
  <c r="A3" i="17"/>
  <c r="A4" i="17" s="1"/>
  <c r="A5" i="17" s="1"/>
  <c r="K2" i="17"/>
  <c r="J5" i="14"/>
  <c r="I5" i="14"/>
  <c r="H5" i="14"/>
  <c r="G5" i="14"/>
  <c r="F5" i="14"/>
  <c r="E5" i="14"/>
  <c r="D5" i="14"/>
  <c r="C5" i="14"/>
  <c r="K5" i="14" s="1"/>
  <c r="J3" i="14"/>
  <c r="I3" i="14"/>
  <c r="H3" i="14"/>
  <c r="G3" i="14"/>
  <c r="F3" i="14"/>
  <c r="E3" i="14"/>
  <c r="D3" i="14"/>
  <c r="C3" i="14"/>
  <c r="J4" i="14"/>
  <c r="I4" i="14"/>
  <c r="H4" i="14"/>
  <c r="G4" i="14"/>
  <c r="F4" i="14"/>
  <c r="E4" i="14"/>
  <c r="D4" i="14"/>
  <c r="C4" i="14"/>
  <c r="J2" i="14"/>
  <c r="I2" i="14"/>
  <c r="H2" i="14"/>
  <c r="G2" i="14"/>
  <c r="F2" i="14"/>
  <c r="E2" i="14"/>
  <c r="D2" i="14"/>
  <c r="C2" i="14"/>
  <c r="K2" i="14" s="1"/>
  <c r="A3" i="14"/>
  <c r="A4" i="14" s="1"/>
  <c r="A5" i="14" s="1"/>
  <c r="J5" i="15"/>
  <c r="I5" i="15"/>
  <c r="H5" i="15"/>
  <c r="G5" i="15"/>
  <c r="F5" i="15"/>
  <c r="E5" i="15"/>
  <c r="C5" i="15"/>
  <c r="K4" i="15"/>
  <c r="K3" i="15"/>
  <c r="J4" i="15"/>
  <c r="I4" i="15"/>
  <c r="H4" i="15"/>
  <c r="G4" i="15"/>
  <c r="F4" i="15"/>
  <c r="E4" i="15"/>
  <c r="D4" i="15"/>
  <c r="K2" i="15"/>
  <c r="K3" i="14" l="1"/>
  <c r="K4" i="14"/>
  <c r="K5" i="15"/>
  <c r="A3" i="15" l="1"/>
  <c r="A4" i="15" s="1"/>
  <c r="A5" i="15" s="1"/>
</calcChain>
</file>

<file path=xl/sharedStrings.xml><?xml version="1.0" encoding="utf-8"?>
<sst xmlns="http://schemas.openxmlformats.org/spreadsheetml/2006/main" count="58" uniqueCount="13">
  <si>
    <t>Electricity</t>
  </si>
  <si>
    <t>Total</t>
  </si>
  <si>
    <t>Direct emissions</t>
  </si>
  <si>
    <t>Scenario</t>
  </si>
  <si>
    <t>CAPEX</t>
  </si>
  <si>
    <t>Ammonia</t>
  </si>
  <si>
    <t>Hydrogen</t>
  </si>
  <si>
    <t>2-Ethylanthraquinone</t>
  </si>
  <si>
    <t>Heating</t>
  </si>
  <si>
    <t>Cooling</t>
  </si>
  <si>
    <r>
      <t>N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O</t>
    </r>
  </si>
  <si>
    <r>
      <t>H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O</t>
    </r>
    <r>
      <rPr>
        <vertAlign val="subscript"/>
        <sz val="11"/>
        <color theme="1"/>
        <rFont val="Calibri"/>
        <family val="2"/>
        <scheme val="minor"/>
      </rPr>
      <t>2</t>
    </r>
  </si>
  <si>
    <t>Impact 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</si>
</sst>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1B293-21A4-490E-8B90-BF3EE8D79D2C}">
  <dimension ref="A1:L5"/>
  <sheetViews>
    <sheetView zoomScale="115" zoomScaleNormal="115" workbookViewId="0">
      <selection activeCell="L4" sqref="L4"/>
    </sheetView>
  </sheetViews>
  <sheetFormatPr defaultColWidth="8.85546875" defaultRowHeight="15" x14ac:dyDescent="0.25"/>
  <cols>
    <col min="1" max="1" width="2.28515625" bestFit="1" customWidth="1"/>
    <col min="2" max="2" width="10.42578125" bestFit="1" customWidth="1"/>
    <col min="3" max="4" width="9.5703125" bestFit="1" customWidth="1"/>
    <col min="5" max="5" width="20.5703125" bestFit="1" customWidth="1"/>
    <col min="6" max="6" width="9.7109375" bestFit="1" customWidth="1"/>
    <col min="7" max="7" width="7.85546875" bestFit="1" customWidth="1"/>
    <col min="8" max="8" width="7.7109375" bestFit="1" customWidth="1"/>
    <col min="9" max="9" width="6.7109375" bestFit="1" customWidth="1"/>
    <col min="10" max="10" width="15.7109375" bestFit="1" customWidth="1"/>
    <col min="11" max="11" width="6.140625" bestFit="1" customWidth="1"/>
    <col min="12" max="12" width="12" bestFit="1" customWidth="1"/>
  </cols>
  <sheetData>
    <row r="1" spans="1:12" x14ac:dyDescent="0.25">
      <c r="B1" s="1" t="s">
        <v>3</v>
      </c>
      <c r="C1" s="1" t="s">
        <v>5</v>
      </c>
      <c r="D1" s="1" t="s">
        <v>6</v>
      </c>
      <c r="E1" s="1" t="s">
        <v>7</v>
      </c>
      <c r="F1" s="1" t="s">
        <v>0</v>
      </c>
      <c r="G1" s="1" t="s">
        <v>8</v>
      </c>
      <c r="H1" s="1" t="s">
        <v>9</v>
      </c>
      <c r="I1" s="1" t="s">
        <v>4</v>
      </c>
      <c r="J1" s="1" t="s">
        <v>2</v>
      </c>
      <c r="K1" s="3" t="s">
        <v>1</v>
      </c>
      <c r="L1" s="4" t="s">
        <v>12</v>
      </c>
    </row>
    <row r="2" spans="1:12" ht="18" x14ac:dyDescent="0.35">
      <c r="A2" s="2">
        <v>0</v>
      </c>
      <c r="B2" s="1" t="s">
        <v>10</v>
      </c>
      <c r="C2" s="4">
        <v>3.2956513670146448</v>
      </c>
      <c r="D2" s="4">
        <v>0</v>
      </c>
      <c r="E2" s="4">
        <v>0</v>
      </c>
      <c r="F2" s="4">
        <v>4.4663073022187867E-2</v>
      </c>
      <c r="G2" s="4">
        <v>0</v>
      </c>
      <c r="H2" s="4">
        <v>1.0771319641479442</v>
      </c>
      <c r="I2" s="4">
        <v>0</v>
      </c>
      <c r="J2" s="4">
        <v>4.1427618661771248E-3</v>
      </c>
      <c r="K2" s="4">
        <f>SUM(C2:J2)</f>
        <v>4.4215891660509534</v>
      </c>
      <c r="L2" s="4">
        <v>3.03904716242775</v>
      </c>
    </row>
    <row r="3" spans="1:12" ht="18" x14ac:dyDescent="0.35">
      <c r="A3" s="2">
        <f>A2+1</f>
        <v>1</v>
      </c>
      <c r="B3" s="1" t="s">
        <v>11</v>
      </c>
      <c r="C3" s="4">
        <v>0</v>
      </c>
      <c r="D3" s="4">
        <v>0.93402477368019154</v>
      </c>
      <c r="E3" s="4">
        <v>6.7116426497261156E-2</v>
      </c>
      <c r="F3" s="4">
        <v>6.0084848449833729E-2</v>
      </c>
      <c r="G3" s="4">
        <v>0.1373612714488579</v>
      </c>
      <c r="H3" s="4">
        <v>1.2946870231381347E-3</v>
      </c>
      <c r="I3" s="4">
        <v>0</v>
      </c>
      <c r="J3" s="4">
        <v>8.1327667232785394E-2</v>
      </c>
      <c r="K3" s="4">
        <f t="shared" ref="K3:K5" si="0">SUM(C3:J3)</f>
        <v>1.2812096743320678</v>
      </c>
      <c r="L3" s="4">
        <v>1.12798088049586</v>
      </c>
    </row>
    <row r="4" spans="1:12" ht="18" x14ac:dyDescent="0.35">
      <c r="A4" s="2">
        <f t="shared" ref="A4:A5" si="1">A3+1</f>
        <v>2</v>
      </c>
      <c r="B4" s="1" t="s">
        <v>10</v>
      </c>
      <c r="C4" s="4">
        <v>0.78836444988837173</v>
      </c>
      <c r="D4" s="4">
        <f>D2</f>
        <v>0</v>
      </c>
      <c r="E4" s="4">
        <f>E2</f>
        <v>0</v>
      </c>
      <c r="F4" s="4">
        <f>F2</f>
        <v>4.4663073022187867E-2</v>
      </c>
      <c r="G4" s="4">
        <f>G2</f>
        <v>0</v>
      </c>
      <c r="H4" s="4">
        <f>H2</f>
        <v>1.0771319641479442</v>
      </c>
      <c r="I4" s="4">
        <f>I2</f>
        <v>0</v>
      </c>
      <c r="J4" s="4">
        <f>J2</f>
        <v>4.1427618661771248E-3</v>
      </c>
      <c r="K4" s="4">
        <f t="shared" si="0"/>
        <v>1.914302248924681</v>
      </c>
      <c r="L4" s="4">
        <v>8.9747948381511497E-2</v>
      </c>
    </row>
    <row r="5" spans="1:12" ht="18" x14ac:dyDescent="0.35">
      <c r="A5" s="2">
        <f t="shared" si="1"/>
        <v>3</v>
      </c>
      <c r="B5" s="1" t="s">
        <v>11</v>
      </c>
      <c r="C5" s="4">
        <f>C3</f>
        <v>0</v>
      </c>
      <c r="D5" s="4">
        <v>0.14054270293045379</v>
      </c>
      <c r="E5" s="4">
        <f>E3</f>
        <v>6.7116426497261156E-2</v>
      </c>
      <c r="F5" s="4">
        <f>F3</f>
        <v>6.0084848449833729E-2</v>
      </c>
      <c r="G5" s="4">
        <f>G3</f>
        <v>0.1373612714488579</v>
      </c>
      <c r="H5" s="4">
        <f>H3</f>
        <v>1.2946870231381347E-3</v>
      </c>
      <c r="I5" s="4">
        <f>I3</f>
        <v>0</v>
      </c>
      <c r="J5" s="4">
        <f>J3</f>
        <v>8.1327667232785394E-2</v>
      </c>
      <c r="K5" s="4">
        <f t="shared" si="0"/>
        <v>0.48772760358233008</v>
      </c>
      <c r="L5" s="4">
        <v>0.34204031191398099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A7EC0-0273-470A-BF1C-FDFDD2F0E9BF}">
  <dimension ref="A1:L5"/>
  <sheetViews>
    <sheetView zoomScale="115" zoomScaleNormal="115" workbookViewId="0">
      <selection activeCell="I25" sqref="I25"/>
    </sheetView>
  </sheetViews>
  <sheetFormatPr defaultColWidth="8.85546875" defaultRowHeight="15" x14ac:dyDescent="0.25"/>
  <cols>
    <col min="1" max="1" width="2.28515625" bestFit="1" customWidth="1"/>
    <col min="2" max="2" width="8.5703125" bestFit="1" customWidth="1"/>
    <col min="3" max="4" width="9.5703125" bestFit="1" customWidth="1"/>
    <col min="5" max="5" width="20.5703125" bestFit="1" customWidth="1"/>
    <col min="6" max="6" width="9.7109375" bestFit="1" customWidth="1"/>
    <col min="7" max="7" width="7.85546875" bestFit="1" customWidth="1"/>
    <col min="8" max="8" width="7.7109375" bestFit="1" customWidth="1"/>
    <col min="9" max="9" width="6.7109375" bestFit="1" customWidth="1"/>
    <col min="10" max="10" width="15.7109375" bestFit="1" customWidth="1"/>
    <col min="11" max="11" width="8.28515625" bestFit="1" customWidth="1"/>
    <col min="12" max="12" width="12" bestFit="1" customWidth="1"/>
  </cols>
  <sheetData>
    <row r="1" spans="1:12" x14ac:dyDescent="0.25">
      <c r="B1" s="1" t="s">
        <v>3</v>
      </c>
      <c r="C1" s="1" t="s">
        <v>5</v>
      </c>
      <c r="D1" s="1" t="s">
        <v>6</v>
      </c>
      <c r="E1" s="1" t="s">
        <v>7</v>
      </c>
      <c r="F1" s="1" t="s">
        <v>0</v>
      </c>
      <c r="G1" s="1" t="s">
        <v>8</v>
      </c>
      <c r="H1" s="1" t="s">
        <v>9</v>
      </c>
      <c r="I1" s="1" t="s">
        <v>4</v>
      </c>
      <c r="J1" s="1" t="s">
        <v>2</v>
      </c>
      <c r="K1" s="3" t="s">
        <v>1</v>
      </c>
      <c r="L1" s="5" t="s">
        <v>12</v>
      </c>
    </row>
    <row r="2" spans="1:12" ht="18" x14ac:dyDescent="0.35">
      <c r="A2" s="2">
        <v>0</v>
      </c>
      <c r="B2" s="1" t="s">
        <v>10</v>
      </c>
      <c r="C2" s="4">
        <f>climate_change_per_kg!C2*44</f>
        <v>145.00866014864437</v>
      </c>
      <c r="D2" s="4">
        <f>climate_change_per_kg!D2*44</f>
        <v>0</v>
      </c>
      <c r="E2" s="4">
        <f>climate_change_per_kg!E2*44</f>
        <v>0</v>
      </c>
      <c r="F2" s="4">
        <f>climate_change_per_kg!F2*44</f>
        <v>1.9651752129762661</v>
      </c>
      <c r="G2" s="4">
        <f>climate_change_per_kg!G2*44</f>
        <v>0</v>
      </c>
      <c r="H2" s="4">
        <f>climate_change_per_kg!H2*44</f>
        <v>47.393806422509542</v>
      </c>
      <c r="I2" s="4">
        <f>climate_change_per_kg!I2*44</f>
        <v>0</v>
      </c>
      <c r="J2" s="4">
        <f>climate_change_per_kg!J2*44</f>
        <v>0.18228152211179349</v>
      </c>
      <c r="K2" s="4">
        <f>SUM(C2:J2)</f>
        <v>194.54992330624196</v>
      </c>
      <c r="L2" s="4">
        <f>climate_change_per_kg!L2*44</f>
        <v>133.71807514682101</v>
      </c>
    </row>
    <row r="3" spans="1:12" ht="18" x14ac:dyDescent="0.35">
      <c r="A3" s="2">
        <f>A2+1</f>
        <v>1</v>
      </c>
      <c r="B3" s="1" t="s">
        <v>11</v>
      </c>
      <c r="C3" s="4">
        <f>climate_change_per_kg!C3*34</f>
        <v>0</v>
      </c>
      <c r="D3" s="4">
        <f>climate_change_per_kg!D3*34</f>
        <v>31.756842305126511</v>
      </c>
      <c r="E3" s="4">
        <f>climate_change_per_kg!E3*34</f>
        <v>2.2819585009068795</v>
      </c>
      <c r="F3" s="4">
        <f>climate_change_per_kg!F3*34</f>
        <v>2.0428848472943466</v>
      </c>
      <c r="G3" s="4">
        <f>climate_change_per_kg!G3*34</f>
        <v>4.6702832292611687</v>
      </c>
      <c r="H3" s="4">
        <f>climate_change_per_kg!H3*34</f>
        <v>4.4019358786696577E-2</v>
      </c>
      <c r="I3" s="4">
        <f>climate_change_per_kg!I3*34</f>
        <v>0</v>
      </c>
      <c r="J3" s="4">
        <f>climate_change_per_kg!J3*34</f>
        <v>2.7651406859147034</v>
      </c>
      <c r="K3" s="4">
        <f t="shared" ref="K3:K5" si="0">SUM(C3:J3)</f>
        <v>43.561128927290305</v>
      </c>
      <c r="L3" s="4">
        <f>climate_change_per_kg!L3*34</f>
        <v>38.351349936859236</v>
      </c>
    </row>
    <row r="4" spans="1:12" ht="18" x14ac:dyDescent="0.35">
      <c r="A4" s="2">
        <f t="shared" ref="A4:A5" si="1">A3+1</f>
        <v>2</v>
      </c>
      <c r="B4" s="1" t="s">
        <v>10</v>
      </c>
      <c r="C4" s="4">
        <f>climate_change_per_kg!C4*44</f>
        <v>34.688035795088354</v>
      </c>
      <c r="D4" s="4">
        <f>climate_change_per_kg!D4*44</f>
        <v>0</v>
      </c>
      <c r="E4" s="4">
        <f>climate_change_per_kg!E4*44</f>
        <v>0</v>
      </c>
      <c r="F4" s="4">
        <f>climate_change_per_kg!F4*44</f>
        <v>1.9651752129762661</v>
      </c>
      <c r="G4" s="4">
        <f>climate_change_per_kg!G4*44</f>
        <v>0</v>
      </c>
      <c r="H4" s="4">
        <f>climate_change_per_kg!H4*44</f>
        <v>47.393806422509542</v>
      </c>
      <c r="I4" s="4">
        <f>climate_change_per_kg!I4*44</f>
        <v>0</v>
      </c>
      <c r="J4" s="4">
        <f>climate_change_per_kg!J4*44</f>
        <v>0.18228152211179349</v>
      </c>
      <c r="K4" s="4">
        <f t="shared" si="0"/>
        <v>84.229298952685951</v>
      </c>
      <c r="L4" s="4">
        <f>climate_change_per_kg!L4*44</f>
        <v>3.9489097287865058</v>
      </c>
    </row>
    <row r="5" spans="1:12" ht="18" x14ac:dyDescent="0.35">
      <c r="A5" s="2">
        <f t="shared" si="1"/>
        <v>3</v>
      </c>
      <c r="B5" s="1" t="s">
        <v>11</v>
      </c>
      <c r="C5" s="4">
        <f>climate_change_per_kg!C5*34</f>
        <v>0</v>
      </c>
      <c r="D5" s="4">
        <f>climate_change_per_kg!D5*34</f>
        <v>4.7784518996354288</v>
      </c>
      <c r="E5" s="4">
        <f>climate_change_per_kg!E5*34</f>
        <v>2.2819585009068795</v>
      </c>
      <c r="F5" s="4">
        <f>climate_change_per_kg!F5*34</f>
        <v>2.0428848472943466</v>
      </c>
      <c r="G5" s="4">
        <f>climate_change_per_kg!G5*34</f>
        <v>4.6702832292611687</v>
      </c>
      <c r="H5" s="4">
        <f>climate_change_per_kg!H5*34</f>
        <v>4.4019358786696577E-2</v>
      </c>
      <c r="I5" s="4">
        <f>climate_change_per_kg!I5*34</f>
        <v>0</v>
      </c>
      <c r="J5" s="4">
        <f>climate_change_per_kg!J5*34</f>
        <v>2.7651406859147034</v>
      </c>
      <c r="K5" s="4">
        <f t="shared" si="0"/>
        <v>16.582738521799225</v>
      </c>
      <c r="L5" s="4">
        <f>climate_change_per_kg!L5*34</f>
        <v>11.629370605075353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24028-3522-4FAA-99F9-57399465E007}">
  <dimension ref="A1:K5"/>
  <sheetViews>
    <sheetView zoomScale="115" zoomScaleNormal="115" workbookViewId="0">
      <selection activeCell="E45" sqref="E45"/>
    </sheetView>
  </sheetViews>
  <sheetFormatPr defaultColWidth="8.85546875" defaultRowHeight="15" x14ac:dyDescent="0.25"/>
  <cols>
    <col min="1" max="1" width="2.28515625" bestFit="1" customWidth="1"/>
    <col min="2" max="2" width="10.42578125" bestFit="1" customWidth="1"/>
    <col min="3" max="4" width="9.5703125" bestFit="1" customWidth="1"/>
    <col min="5" max="5" width="20.5703125" bestFit="1" customWidth="1"/>
    <col min="6" max="6" width="9.7109375" bestFit="1" customWidth="1"/>
    <col min="7" max="7" width="7.85546875" bestFit="1" customWidth="1"/>
    <col min="8" max="8" width="7.7109375" bestFit="1" customWidth="1"/>
    <col min="9" max="9" width="6.7109375" bestFit="1" customWidth="1"/>
    <col min="10" max="10" width="15.7109375" bestFit="1" customWidth="1"/>
    <col min="11" max="11" width="6.140625" bestFit="1" customWidth="1"/>
  </cols>
  <sheetData>
    <row r="1" spans="1:11" x14ac:dyDescent="0.25">
      <c r="B1" s="1" t="s">
        <v>3</v>
      </c>
      <c r="C1" s="1" t="s">
        <v>5</v>
      </c>
      <c r="D1" s="1" t="s">
        <v>6</v>
      </c>
      <c r="E1" s="1" t="s">
        <v>7</v>
      </c>
      <c r="F1" s="1" t="s">
        <v>0</v>
      </c>
      <c r="G1" s="1" t="s">
        <v>8</v>
      </c>
      <c r="H1" s="1" t="s">
        <v>9</v>
      </c>
      <c r="I1" s="1" t="s">
        <v>4</v>
      </c>
      <c r="J1" s="1" t="s">
        <v>2</v>
      </c>
      <c r="K1" s="3" t="s">
        <v>1</v>
      </c>
    </row>
    <row r="2" spans="1:11" ht="18" x14ac:dyDescent="0.35">
      <c r="A2" s="2">
        <v>0</v>
      </c>
      <c r="B2" s="1" t="s">
        <v>10</v>
      </c>
      <c r="C2" s="4">
        <v>0.70526625898807838</v>
      </c>
      <c r="D2" s="4">
        <v>0</v>
      </c>
      <c r="E2" s="4">
        <v>0</v>
      </c>
      <c r="F2" s="4">
        <v>6.1518196570525905E-3</v>
      </c>
      <c r="G2" s="4">
        <v>0</v>
      </c>
      <c r="H2" s="4">
        <v>0.15656587025320662</v>
      </c>
      <c r="I2" s="4">
        <v>3.1237370934441819E-2</v>
      </c>
      <c r="J2" s="4">
        <v>0</v>
      </c>
      <c r="K2" s="4">
        <f>SUM(C2:J2)</f>
        <v>0.89922131983277942</v>
      </c>
    </row>
    <row r="3" spans="1:11" ht="18" x14ac:dyDescent="0.35">
      <c r="A3" s="2">
        <f>A2+1</f>
        <v>1</v>
      </c>
      <c r="B3" s="1" t="s">
        <v>11</v>
      </c>
      <c r="C3" s="4">
        <v>0</v>
      </c>
      <c r="D3" s="4">
        <v>0.12159689975531821</v>
      </c>
      <c r="E3" s="4">
        <v>1.7534231211380544</v>
      </c>
      <c r="F3" s="4">
        <v>8.2752625114666644E-3</v>
      </c>
      <c r="G3" s="4">
        <v>1.4012332202271671E-2</v>
      </c>
      <c r="H3" s="4">
        <v>1.4292666501166196E-3</v>
      </c>
      <c r="I3" s="4">
        <v>3.6477817859021072E-2</v>
      </c>
      <c r="J3" s="4">
        <v>0</v>
      </c>
      <c r="K3" s="4">
        <f t="shared" ref="K3:K5" si="0">SUM(C3:J3)</f>
        <v>1.9352147001162485</v>
      </c>
    </row>
    <row r="4" spans="1:11" ht="18" x14ac:dyDescent="0.35">
      <c r="A4" s="2">
        <f t="shared" ref="A4:A5" si="1">A3+1</f>
        <v>2</v>
      </c>
      <c r="B4" s="1" t="s">
        <v>10</v>
      </c>
      <c r="C4" s="4">
        <v>1.3230631140605693</v>
      </c>
      <c r="D4" s="4">
        <f>D2</f>
        <v>0</v>
      </c>
      <c r="E4" s="4">
        <f>E2</f>
        <v>0</v>
      </c>
      <c r="F4" s="4">
        <f>F2</f>
        <v>6.1518196570525905E-3</v>
      </c>
      <c r="G4" s="4">
        <f>G2</f>
        <v>0</v>
      </c>
      <c r="H4" s="4">
        <f>H2</f>
        <v>0.15656587025320662</v>
      </c>
      <c r="I4" s="4">
        <f>I2</f>
        <v>3.1237370934441819E-2</v>
      </c>
      <c r="J4" s="4">
        <f>J2</f>
        <v>0</v>
      </c>
      <c r="K4" s="4">
        <f t="shared" si="0"/>
        <v>1.5170181749052705</v>
      </c>
    </row>
    <row r="5" spans="1:11" ht="18" x14ac:dyDescent="0.35">
      <c r="A5" s="2">
        <f t="shared" si="1"/>
        <v>3</v>
      </c>
      <c r="B5" s="1" t="s">
        <v>11</v>
      </c>
      <c r="C5" s="4">
        <f>C3</f>
        <v>0</v>
      </c>
      <c r="D5" s="4">
        <v>0.34480134971906312</v>
      </c>
      <c r="E5" s="4">
        <f>E3</f>
        <v>1.7534231211380544</v>
      </c>
      <c r="F5" s="4">
        <f>F3</f>
        <v>8.2752625114666644E-3</v>
      </c>
      <c r="G5" s="4">
        <f>G3</f>
        <v>1.4012332202271671E-2</v>
      </c>
      <c r="H5" s="4">
        <f>H3</f>
        <v>1.4292666501166196E-3</v>
      </c>
      <c r="I5" s="4">
        <f>I3</f>
        <v>3.6477817859021072E-2</v>
      </c>
      <c r="J5" s="4">
        <f>J3</f>
        <v>0</v>
      </c>
      <c r="K5" s="4">
        <f t="shared" si="0"/>
        <v>2.1584191500799932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C59D4-EFB5-4206-AC6D-A6C0FCAFBA21}">
  <dimension ref="A1:K5"/>
  <sheetViews>
    <sheetView tabSelected="1" zoomScale="115" zoomScaleNormal="115" workbookViewId="0">
      <selection activeCell="P8" sqref="P8"/>
    </sheetView>
  </sheetViews>
  <sheetFormatPr defaultColWidth="8.85546875" defaultRowHeight="15" x14ac:dyDescent="0.25"/>
  <cols>
    <col min="1" max="1" width="2.28515625" bestFit="1" customWidth="1"/>
    <col min="2" max="2" width="8.5703125" bestFit="1" customWidth="1"/>
    <col min="3" max="4" width="9.5703125" bestFit="1" customWidth="1"/>
    <col min="5" max="5" width="20.5703125" bestFit="1" customWidth="1"/>
    <col min="6" max="6" width="9.7109375" bestFit="1" customWidth="1"/>
    <col min="7" max="7" width="7.85546875" bestFit="1" customWidth="1"/>
    <col min="8" max="8" width="7.7109375" bestFit="1" customWidth="1"/>
    <col min="9" max="9" width="6.7109375" bestFit="1" customWidth="1"/>
    <col min="10" max="10" width="15.7109375" bestFit="1" customWidth="1"/>
    <col min="11" max="11" width="7.28515625" bestFit="1" customWidth="1"/>
  </cols>
  <sheetData>
    <row r="1" spans="1:11" x14ac:dyDescent="0.25">
      <c r="B1" s="1" t="s">
        <v>3</v>
      </c>
      <c r="C1" s="1" t="s">
        <v>5</v>
      </c>
      <c r="D1" s="1" t="s">
        <v>6</v>
      </c>
      <c r="E1" s="1" t="s">
        <v>7</v>
      </c>
      <c r="F1" s="1" t="s">
        <v>0</v>
      </c>
      <c r="G1" s="1" t="s">
        <v>8</v>
      </c>
      <c r="H1" s="1" t="s">
        <v>9</v>
      </c>
      <c r="I1" s="1" t="s">
        <v>4</v>
      </c>
      <c r="J1" s="1" t="s">
        <v>2</v>
      </c>
      <c r="K1" s="3" t="s">
        <v>1</v>
      </c>
    </row>
    <row r="2" spans="1:11" ht="18" x14ac:dyDescent="0.35">
      <c r="A2" s="2">
        <v>0</v>
      </c>
      <c r="B2" s="1" t="s">
        <v>10</v>
      </c>
      <c r="C2" s="4">
        <f>economics_per_kg!C2*44</f>
        <v>31.031715395475448</v>
      </c>
      <c r="D2" s="4">
        <f>economics_per_kg!D2*44</f>
        <v>0</v>
      </c>
      <c r="E2" s="4">
        <f>economics_per_kg!E2*44</f>
        <v>0</v>
      </c>
      <c r="F2" s="4">
        <f>economics_per_kg!F2*44</f>
        <v>0.27068006491031399</v>
      </c>
      <c r="G2" s="4">
        <f>economics_per_kg!G2*44</f>
        <v>0</v>
      </c>
      <c r="H2" s="4">
        <f>economics_per_kg!H2*44</f>
        <v>6.888898291141091</v>
      </c>
      <c r="I2" s="4">
        <f>economics_per_kg!I2*44</f>
        <v>1.37444432111544</v>
      </c>
      <c r="J2" s="4">
        <f>economics_per_kg!J2*44</f>
        <v>0</v>
      </c>
      <c r="K2" s="4">
        <f>SUM(C2:J2)</f>
        <v>39.56573807264229</v>
      </c>
    </row>
    <row r="3" spans="1:11" ht="18" x14ac:dyDescent="0.35">
      <c r="A3" s="2">
        <f>A2+1</f>
        <v>1</v>
      </c>
      <c r="B3" s="1" t="s">
        <v>11</v>
      </c>
      <c r="C3" s="4">
        <f>economics_per_kg!C3*34</f>
        <v>0</v>
      </c>
      <c r="D3" s="4">
        <f>economics_per_kg!D3*34</f>
        <v>4.1342945916808187</v>
      </c>
      <c r="E3" s="4">
        <f>economics_per_kg!E3*34</f>
        <v>59.616386118693853</v>
      </c>
      <c r="F3" s="4">
        <f>economics_per_kg!F3*34</f>
        <v>0.28135892538986657</v>
      </c>
      <c r="G3" s="4">
        <f>economics_per_kg!G3*34</f>
        <v>0.47641929487723678</v>
      </c>
      <c r="H3" s="4">
        <f>economics_per_kg!H3*34</f>
        <v>4.8595066103965065E-2</v>
      </c>
      <c r="I3" s="4">
        <f>economics_per_kg!I3*34</f>
        <v>1.2402458072067164</v>
      </c>
      <c r="J3" s="4">
        <f>economics_per_kg!J3*34</f>
        <v>0</v>
      </c>
      <c r="K3" s="4">
        <f t="shared" ref="K3:K5" si="0">SUM(C3:J3)</f>
        <v>65.797299803952455</v>
      </c>
    </row>
    <row r="4" spans="1:11" ht="18" x14ac:dyDescent="0.35">
      <c r="A4" s="2">
        <f t="shared" ref="A4:A5" si="1">A3+1</f>
        <v>2</v>
      </c>
      <c r="B4" s="1" t="s">
        <v>10</v>
      </c>
      <c r="C4" s="4">
        <f>economics_per_kg!C4*44</f>
        <v>58.214777018665046</v>
      </c>
      <c r="D4" s="4">
        <f>economics_per_kg!D4*44</f>
        <v>0</v>
      </c>
      <c r="E4" s="4">
        <f>economics_per_kg!E4*44</f>
        <v>0</v>
      </c>
      <c r="F4" s="4">
        <f>economics_per_kg!F4*44</f>
        <v>0.27068006491031399</v>
      </c>
      <c r="G4" s="4">
        <f>economics_per_kg!G4*44</f>
        <v>0</v>
      </c>
      <c r="H4" s="4">
        <f>economics_per_kg!H4*44</f>
        <v>6.888898291141091</v>
      </c>
      <c r="I4" s="4">
        <f>economics_per_kg!I4*44</f>
        <v>1.37444432111544</v>
      </c>
      <c r="J4" s="4">
        <f>economics_per_kg!J4*44</f>
        <v>0</v>
      </c>
      <c r="K4" s="4">
        <f t="shared" si="0"/>
        <v>66.748799695831892</v>
      </c>
    </row>
    <row r="5" spans="1:11" ht="18" x14ac:dyDescent="0.35">
      <c r="A5" s="2">
        <f t="shared" si="1"/>
        <v>3</v>
      </c>
      <c r="B5" s="1" t="s">
        <v>11</v>
      </c>
      <c r="C5" s="4">
        <f>economics_per_kg!C5*34</f>
        <v>0</v>
      </c>
      <c r="D5" s="4">
        <f>economics_per_kg!D5*34</f>
        <v>11.723245890448146</v>
      </c>
      <c r="E5" s="4">
        <f>economics_per_kg!E5*34</f>
        <v>59.616386118693853</v>
      </c>
      <c r="F5" s="4">
        <f>economics_per_kg!F5*34</f>
        <v>0.28135892538986657</v>
      </c>
      <c r="G5" s="4">
        <f>economics_per_kg!G5*34</f>
        <v>0.47641929487723678</v>
      </c>
      <c r="H5" s="4">
        <f>economics_per_kg!H5*34</f>
        <v>4.8595066103965065E-2</v>
      </c>
      <c r="I5" s="4">
        <f>economics_per_kg!I5*34</f>
        <v>1.2402458072067164</v>
      </c>
      <c r="J5" s="4">
        <f>economics_per_kg!J5*34</f>
        <v>0</v>
      </c>
      <c r="K5" s="4">
        <f t="shared" si="0"/>
        <v>73.386251102719783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climate_change_per_kg</vt:lpstr>
      <vt:lpstr>climate_change_per_kmol</vt:lpstr>
      <vt:lpstr>economics_per_kg</vt:lpstr>
      <vt:lpstr>economics_per_kmol</vt:lpstr>
    </vt:vector>
  </TitlesOfParts>
  <Company>ETH Zuerich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Patel  Bhargav</dc:creator>
  <cp:lastModifiedBy>Nabera  Abhinandan</cp:lastModifiedBy>
  <dcterms:created xsi:type="dcterms:W3CDTF">2019-11-19T09:30:23Z</dcterms:created>
  <dcterms:modified xsi:type="dcterms:W3CDTF">2025-02-16T17:52:31Z</dcterms:modified>
</cp:coreProperties>
</file>