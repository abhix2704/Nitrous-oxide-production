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503B3E3F-F96B-4748-9A08-B8C46E8D7223}" xr6:coauthVersionLast="36" xr6:coauthVersionMax="47" xr10:uidLastSave="{00000000-0000-0000-0000-000000000000}"/>
  <bookViews>
    <workbookView xWindow="0" yWindow="495" windowWidth="28800" windowHeight="17505" xr2:uid="{00000000-000D-0000-FFFF-FFFF00000000}"/>
  </bookViews>
  <sheets>
    <sheet name="climate_change_per_kg" sheetId="15" r:id="rId1"/>
    <sheet name="climate_change_per_kmol" sheetId="14" r:id="rId2"/>
    <sheet name="economics_per_kg" sheetId="17" r:id="rId3"/>
    <sheet name="economics_per_kmol" sheetId="18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4" l="1"/>
  <c r="L4" i="14"/>
  <c r="L3" i="14"/>
  <c r="L2" i="14"/>
  <c r="J5" i="18"/>
  <c r="I5" i="18"/>
  <c r="H5" i="18"/>
  <c r="G5" i="18"/>
  <c r="F5" i="18"/>
  <c r="E5" i="18"/>
  <c r="D5" i="18"/>
  <c r="C5" i="18"/>
  <c r="J3" i="18"/>
  <c r="I3" i="18"/>
  <c r="H3" i="18"/>
  <c r="G3" i="18"/>
  <c r="F3" i="18"/>
  <c r="E3" i="18"/>
  <c r="D3" i="18"/>
  <c r="C3" i="18"/>
  <c r="K5" i="18" s="1"/>
  <c r="J4" i="18"/>
  <c r="I4" i="18"/>
  <c r="H4" i="18"/>
  <c r="G4" i="18"/>
  <c r="F4" i="18"/>
  <c r="E4" i="18"/>
  <c r="D4" i="18"/>
  <c r="C4" i="18"/>
  <c r="J2" i="18"/>
  <c r="I2" i="18"/>
  <c r="H2" i="18"/>
  <c r="G2" i="18"/>
  <c r="F2" i="18"/>
  <c r="E2" i="18"/>
  <c r="K4" i="18" s="1"/>
  <c r="D2" i="18"/>
  <c r="C2" i="18"/>
  <c r="K2" i="18" s="1"/>
  <c r="A3" i="18"/>
  <c r="A4" i="18" s="1"/>
  <c r="A5" i="18" s="1"/>
  <c r="K3" i="18" l="1"/>
  <c r="C5" i="17" l="1"/>
  <c r="J5" i="17"/>
  <c r="I5" i="17"/>
  <c r="H5" i="17"/>
  <c r="G5" i="17"/>
  <c r="F5" i="17"/>
  <c r="E5" i="17"/>
  <c r="H4" i="17"/>
  <c r="J4" i="17"/>
  <c r="I4" i="17"/>
  <c r="G4" i="17"/>
  <c r="F4" i="17"/>
  <c r="E4" i="17"/>
  <c r="D4" i="17"/>
  <c r="K5" i="17" l="1"/>
  <c r="K4" i="17"/>
  <c r="K3" i="17"/>
  <c r="A3" i="17"/>
  <c r="A4" i="17" s="1"/>
  <c r="A5" i="17" s="1"/>
  <c r="K2" i="17"/>
  <c r="I5" i="14"/>
  <c r="H5" i="14"/>
  <c r="G5" i="14"/>
  <c r="D5" i="14"/>
  <c r="J3" i="14"/>
  <c r="I3" i="14"/>
  <c r="H3" i="14"/>
  <c r="G3" i="14"/>
  <c r="F3" i="14"/>
  <c r="E3" i="14"/>
  <c r="D3" i="14"/>
  <c r="C3" i="14"/>
  <c r="I4" i="14"/>
  <c r="H4" i="14"/>
  <c r="G4" i="14"/>
  <c r="F4" i="14"/>
  <c r="E4" i="14"/>
  <c r="D4" i="14"/>
  <c r="C4" i="14"/>
  <c r="J2" i="14"/>
  <c r="I2" i="14"/>
  <c r="H2" i="14"/>
  <c r="G2" i="14"/>
  <c r="F2" i="14"/>
  <c r="E2" i="14"/>
  <c r="D2" i="14"/>
  <c r="C2" i="14"/>
  <c r="A3" i="14"/>
  <c r="A4" i="14" s="1"/>
  <c r="A5" i="14" s="1"/>
  <c r="J5" i="15"/>
  <c r="J5" i="14" s="1"/>
  <c r="I5" i="15"/>
  <c r="H5" i="15"/>
  <c r="G5" i="15"/>
  <c r="F5" i="15"/>
  <c r="F5" i="14" s="1"/>
  <c r="E5" i="15"/>
  <c r="E5" i="14" s="1"/>
  <c r="C5" i="15"/>
  <c r="C5" i="14" s="1"/>
  <c r="K3" i="15"/>
  <c r="J4" i="15"/>
  <c r="K4" i="15" s="1"/>
  <c r="I4" i="15"/>
  <c r="H4" i="15"/>
  <c r="G4" i="15"/>
  <c r="F4" i="15"/>
  <c r="E4" i="15"/>
  <c r="D4" i="15"/>
  <c r="K2" i="15"/>
  <c r="J4" i="14" l="1"/>
  <c r="K2" i="14"/>
  <c r="K5" i="14"/>
  <c r="K3" i="14"/>
  <c r="K4" i="14"/>
  <c r="K5" i="15"/>
  <c r="A3" i="15" l="1"/>
  <c r="A4" i="15" s="1"/>
  <c r="A5" i="15" s="1"/>
</calcChain>
</file>

<file path=xl/sharedStrings.xml><?xml version="1.0" encoding="utf-8"?>
<sst xmlns="http://schemas.openxmlformats.org/spreadsheetml/2006/main" count="58" uniqueCount="13">
  <si>
    <t>Electricity</t>
  </si>
  <si>
    <t>Total</t>
  </si>
  <si>
    <t>Direct emissions</t>
  </si>
  <si>
    <t>Scenario</t>
  </si>
  <si>
    <t>CAPEX</t>
  </si>
  <si>
    <t>Ammonia</t>
  </si>
  <si>
    <t>Hydrogen</t>
  </si>
  <si>
    <t>2-Ethylanthraquinone</t>
  </si>
  <si>
    <t>Heating</t>
  </si>
  <si>
    <t>Cooling</t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</si>
  <si>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</si>
  <si>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  <r>
      <rPr>
        <vertAlign val="subscript"/>
        <sz val="11"/>
        <color theme="1"/>
        <rFont val="Calibri"/>
        <family val="2"/>
        <scheme val="minor"/>
      </rPr>
      <t>2</t>
    </r>
  </si>
  <si>
    <t>Impact 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</si>
</sst>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1B293-21A4-490E-8B90-BF3EE8D79D2C}">
  <dimension ref="A1:L5"/>
  <sheetViews>
    <sheetView tabSelected="1" zoomScale="115" zoomScaleNormal="115" workbookViewId="0">
      <selection activeCell="N10" sqref="N10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2" max="12" width="12" bestFit="1" customWidth="1"/>
  </cols>
  <sheetData>
    <row r="1" spans="1:12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4" t="s">
        <v>12</v>
      </c>
    </row>
    <row r="2" spans="1:12" ht="18" x14ac:dyDescent="0.35">
      <c r="A2" s="2">
        <v>0</v>
      </c>
      <c r="B2" s="1" t="s">
        <v>10</v>
      </c>
      <c r="C2" s="4">
        <v>3.2956513670146448</v>
      </c>
      <c r="D2" s="4">
        <v>0</v>
      </c>
      <c r="E2" s="4">
        <v>0</v>
      </c>
      <c r="F2" s="4">
        <v>4.4663073022187867E-2</v>
      </c>
      <c r="G2" s="4">
        <v>0</v>
      </c>
      <c r="H2" s="4">
        <v>1.0771319641479442</v>
      </c>
      <c r="I2" s="4">
        <v>0</v>
      </c>
      <c r="J2" s="4">
        <v>4.1427618661771248E-3</v>
      </c>
      <c r="K2" s="4">
        <f>SUM(C2:J2)</f>
        <v>4.4215891660509534</v>
      </c>
      <c r="L2" s="4">
        <v>3.03904716242775</v>
      </c>
    </row>
    <row r="3" spans="1:12" ht="18" x14ac:dyDescent="0.35">
      <c r="A3" s="2">
        <f>A2+1</f>
        <v>1</v>
      </c>
      <c r="B3" s="1" t="s">
        <v>11</v>
      </c>
      <c r="C3" s="4">
        <v>0</v>
      </c>
      <c r="D3" s="4">
        <v>0.93402477368019154</v>
      </c>
      <c r="E3" s="4">
        <v>7.159020601478655E-2</v>
      </c>
      <c r="F3" s="4">
        <v>6.0084848449833729E-2</v>
      </c>
      <c r="G3" s="4">
        <v>0.1373612714488579</v>
      </c>
      <c r="H3" s="4">
        <v>1.2946870231381347E-3</v>
      </c>
      <c r="I3" s="4">
        <v>0</v>
      </c>
      <c r="J3" s="4">
        <v>8.1327667232785394E-2</v>
      </c>
      <c r="K3" s="4">
        <f t="shared" ref="K3:K5" si="0">SUM(C3:J3)</f>
        <v>1.2856834538495931</v>
      </c>
      <c r="L3" s="4">
        <v>1.1316159298123001</v>
      </c>
    </row>
    <row r="4" spans="1:12" ht="18" x14ac:dyDescent="0.35">
      <c r="A4" s="2">
        <f t="shared" ref="A4:A5" si="1">A3+1</f>
        <v>2</v>
      </c>
      <c r="B4" s="1" t="s">
        <v>10</v>
      </c>
      <c r="C4" s="4">
        <v>0.78836444988837173</v>
      </c>
      <c r="D4" s="4">
        <f t="shared" ref="D4:J4" si="2">D2</f>
        <v>0</v>
      </c>
      <c r="E4" s="4">
        <f t="shared" si="2"/>
        <v>0</v>
      </c>
      <c r="F4" s="4">
        <f t="shared" si="2"/>
        <v>4.4663073022187867E-2</v>
      </c>
      <c r="G4" s="4">
        <f t="shared" si="2"/>
        <v>0</v>
      </c>
      <c r="H4" s="4">
        <f t="shared" si="2"/>
        <v>1.0771319641479442</v>
      </c>
      <c r="I4" s="4">
        <f t="shared" si="2"/>
        <v>0</v>
      </c>
      <c r="J4" s="4">
        <f t="shared" si="2"/>
        <v>4.1427618661771248E-3</v>
      </c>
      <c r="K4" s="4">
        <f t="shared" si="0"/>
        <v>1.914302248924681</v>
      </c>
      <c r="L4" s="4">
        <v>8.9747948381511497E-2</v>
      </c>
    </row>
    <row r="5" spans="1:12" ht="18" x14ac:dyDescent="0.35">
      <c r="A5" s="2">
        <f t="shared" si="1"/>
        <v>3</v>
      </c>
      <c r="B5" s="1" t="s">
        <v>11</v>
      </c>
      <c r="C5" s="4">
        <f>C3</f>
        <v>0</v>
      </c>
      <c r="D5" s="4">
        <v>0.14054270293045379</v>
      </c>
      <c r="E5" s="4">
        <f t="shared" ref="E5:J5" si="3">E3</f>
        <v>7.159020601478655E-2</v>
      </c>
      <c r="F5" s="4">
        <f t="shared" si="3"/>
        <v>6.0084848449833729E-2</v>
      </c>
      <c r="G5" s="4">
        <f t="shared" si="3"/>
        <v>0.1373612714488579</v>
      </c>
      <c r="H5" s="4">
        <f t="shared" si="3"/>
        <v>1.2946870231381347E-3</v>
      </c>
      <c r="I5" s="4">
        <f t="shared" si="3"/>
        <v>0</v>
      </c>
      <c r="J5" s="4">
        <f t="shared" si="3"/>
        <v>8.1327667232785394E-2</v>
      </c>
      <c r="K5" s="4">
        <f t="shared" si="0"/>
        <v>0.49220138309985551</v>
      </c>
      <c r="L5" s="4">
        <v>0.34567536123042802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A7EC0-0273-470A-BF1C-FDFDD2F0E9BF}">
  <dimension ref="A1:L5"/>
  <sheetViews>
    <sheetView zoomScale="115" zoomScaleNormal="115" workbookViewId="0">
      <selection activeCell="I25" sqref="I25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8.28515625" bestFit="1" customWidth="1"/>
    <col min="12" max="12" width="12" bestFit="1" customWidth="1"/>
  </cols>
  <sheetData>
    <row r="1" spans="1:12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5" t="s">
        <v>12</v>
      </c>
    </row>
    <row r="2" spans="1:12" ht="18" x14ac:dyDescent="0.35">
      <c r="A2" s="2">
        <v>0</v>
      </c>
      <c r="B2" s="1" t="s">
        <v>10</v>
      </c>
      <c r="C2" s="4">
        <f>climate_change_per_kg!C2*44</f>
        <v>145.00866014864437</v>
      </c>
      <c r="D2" s="4">
        <f>climate_change_per_kg!D2*44</f>
        <v>0</v>
      </c>
      <c r="E2" s="4">
        <f>climate_change_per_kg!E2*44</f>
        <v>0</v>
      </c>
      <c r="F2" s="4">
        <f>climate_change_per_kg!F2*44</f>
        <v>1.9651752129762661</v>
      </c>
      <c r="G2" s="4">
        <f>climate_change_per_kg!G2*44</f>
        <v>0</v>
      </c>
      <c r="H2" s="4">
        <f>climate_change_per_kg!H2*44</f>
        <v>47.393806422509542</v>
      </c>
      <c r="I2" s="4">
        <f>climate_change_per_kg!I2*44</f>
        <v>0</v>
      </c>
      <c r="J2" s="4">
        <f>climate_change_per_kg!J2*44</f>
        <v>0.18228152211179349</v>
      </c>
      <c r="K2" s="4">
        <f>SUM(C2:J2)</f>
        <v>194.54992330624196</v>
      </c>
      <c r="L2" s="4">
        <f>climate_change_per_kg!L2*44</f>
        <v>133.71807514682101</v>
      </c>
    </row>
    <row r="3" spans="1:12" ht="18" x14ac:dyDescent="0.35">
      <c r="A3" s="2">
        <f>A2+1</f>
        <v>1</v>
      </c>
      <c r="B3" s="1" t="s">
        <v>11</v>
      </c>
      <c r="C3" s="4">
        <f>climate_change_per_kg!C3*34</f>
        <v>0</v>
      </c>
      <c r="D3" s="4">
        <f>climate_change_per_kg!D3*34</f>
        <v>31.756842305126511</v>
      </c>
      <c r="E3" s="4">
        <f>climate_change_per_kg!E3*34</f>
        <v>2.4340670045027428</v>
      </c>
      <c r="F3" s="4">
        <f>climate_change_per_kg!F3*34</f>
        <v>2.0428848472943466</v>
      </c>
      <c r="G3" s="4">
        <f>climate_change_per_kg!G3*34</f>
        <v>4.6702832292611687</v>
      </c>
      <c r="H3" s="4">
        <f>climate_change_per_kg!H3*34</f>
        <v>4.4019358786696577E-2</v>
      </c>
      <c r="I3" s="4">
        <f>climate_change_per_kg!I3*34</f>
        <v>0</v>
      </c>
      <c r="J3" s="4">
        <f>climate_change_per_kg!J3*34</f>
        <v>2.7651406859147034</v>
      </c>
      <c r="K3" s="4">
        <f t="shared" ref="K3:K5" si="0">SUM(C3:J3)</f>
        <v>43.713237430886167</v>
      </c>
      <c r="L3" s="4">
        <f>climate_change_per_kg!L3*34</f>
        <v>38.474941613618199</v>
      </c>
    </row>
    <row r="4" spans="1:12" ht="18" x14ac:dyDescent="0.35">
      <c r="A4" s="2">
        <f t="shared" ref="A4:A5" si="1">A3+1</f>
        <v>2</v>
      </c>
      <c r="B4" s="1" t="s">
        <v>10</v>
      </c>
      <c r="C4" s="4">
        <f>climate_change_per_kg!C4*44</f>
        <v>34.688035795088354</v>
      </c>
      <c r="D4" s="4">
        <f>climate_change_per_kg!D4*44</f>
        <v>0</v>
      </c>
      <c r="E4" s="4">
        <f>climate_change_per_kg!E4*44</f>
        <v>0</v>
      </c>
      <c r="F4" s="4">
        <f>climate_change_per_kg!F4*44</f>
        <v>1.9651752129762661</v>
      </c>
      <c r="G4" s="4">
        <f>climate_change_per_kg!G4*44</f>
        <v>0</v>
      </c>
      <c r="H4" s="4">
        <f>climate_change_per_kg!H4*44</f>
        <v>47.393806422509542</v>
      </c>
      <c r="I4" s="4">
        <f>climate_change_per_kg!I4*44</f>
        <v>0</v>
      </c>
      <c r="J4" s="4">
        <f>climate_change_per_kg!J4*44</f>
        <v>0.18228152211179349</v>
      </c>
      <c r="K4" s="4">
        <f t="shared" si="0"/>
        <v>84.229298952685951</v>
      </c>
      <c r="L4" s="4">
        <f>climate_change_per_kg!L4*44</f>
        <v>3.9489097287865058</v>
      </c>
    </row>
    <row r="5" spans="1:12" ht="18" x14ac:dyDescent="0.35">
      <c r="A5" s="2">
        <f t="shared" si="1"/>
        <v>3</v>
      </c>
      <c r="B5" s="1" t="s">
        <v>11</v>
      </c>
      <c r="C5" s="4">
        <f>climate_change_per_kg!C5*34</f>
        <v>0</v>
      </c>
      <c r="D5" s="4">
        <f>climate_change_per_kg!D5*34</f>
        <v>4.7784518996354288</v>
      </c>
      <c r="E5" s="4">
        <f>climate_change_per_kg!E5*34</f>
        <v>2.4340670045027428</v>
      </c>
      <c r="F5" s="4">
        <f>climate_change_per_kg!F5*34</f>
        <v>2.0428848472943466</v>
      </c>
      <c r="G5" s="4">
        <f>climate_change_per_kg!G5*34</f>
        <v>4.6702832292611687</v>
      </c>
      <c r="H5" s="4">
        <f>climate_change_per_kg!H5*34</f>
        <v>4.4019358786696577E-2</v>
      </c>
      <c r="I5" s="4">
        <f>climate_change_per_kg!I5*34</f>
        <v>0</v>
      </c>
      <c r="J5" s="4">
        <f>climate_change_per_kg!J5*34</f>
        <v>2.7651406859147034</v>
      </c>
      <c r="K5" s="4">
        <f t="shared" si="0"/>
        <v>16.734847025395087</v>
      </c>
      <c r="L5" s="4">
        <f>climate_change_per_kg!L5*34</f>
        <v>11.752962281834552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24028-3522-4FAA-99F9-57399465E007}">
  <dimension ref="A1:K5"/>
  <sheetViews>
    <sheetView zoomScale="115" zoomScaleNormal="115" workbookViewId="0">
      <selection activeCell="E45" sqref="E45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</cols>
  <sheetData>
    <row r="1" spans="1:11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</row>
    <row r="2" spans="1:11" ht="18" x14ac:dyDescent="0.35">
      <c r="A2" s="2">
        <v>0</v>
      </c>
      <c r="B2" s="1" t="s">
        <v>10</v>
      </c>
      <c r="C2" s="4">
        <v>0.70526625898807838</v>
      </c>
      <c r="D2" s="4">
        <v>0</v>
      </c>
      <c r="E2" s="4">
        <v>0</v>
      </c>
      <c r="F2" s="4">
        <v>6.1518196570525905E-3</v>
      </c>
      <c r="G2" s="4">
        <v>0</v>
      </c>
      <c r="H2" s="4">
        <v>0.15656587025320662</v>
      </c>
      <c r="I2" s="4">
        <v>3.1237370934441819E-2</v>
      </c>
      <c r="J2" s="4">
        <v>0</v>
      </c>
      <c r="K2" s="4">
        <f>SUM(C2:J2)</f>
        <v>0.89922131983277942</v>
      </c>
    </row>
    <row r="3" spans="1:11" ht="18" x14ac:dyDescent="0.35">
      <c r="A3" s="2">
        <f>A2+1</f>
        <v>1</v>
      </c>
      <c r="B3" s="1" t="s">
        <v>11</v>
      </c>
      <c r="C3" s="4">
        <v>0</v>
      </c>
      <c r="D3" s="4">
        <v>0.12159689975531821</v>
      </c>
      <c r="E3" s="4">
        <v>1.7534231211380544</v>
      </c>
      <c r="F3" s="4">
        <v>8.2752625114666644E-3</v>
      </c>
      <c r="G3" s="4">
        <v>1.4012332202271671E-2</v>
      </c>
      <c r="H3" s="4">
        <v>1.4292666501166196E-3</v>
      </c>
      <c r="I3" s="4">
        <v>3.6477817859021072E-2</v>
      </c>
      <c r="J3" s="4">
        <v>0</v>
      </c>
      <c r="K3" s="4">
        <f t="shared" ref="K3:K5" si="0">SUM(C3:J3)</f>
        <v>1.9352147001162485</v>
      </c>
    </row>
    <row r="4" spans="1:11" ht="18" x14ac:dyDescent="0.35">
      <c r="A4" s="2">
        <f t="shared" ref="A4:A5" si="1">A3+1</f>
        <v>2</v>
      </c>
      <c r="B4" s="1" t="s">
        <v>10</v>
      </c>
      <c r="C4" s="4">
        <v>1.3230631140605693</v>
      </c>
      <c r="D4" s="4">
        <f t="shared" ref="D4:J4" si="2">D2</f>
        <v>0</v>
      </c>
      <c r="E4" s="4">
        <f t="shared" si="2"/>
        <v>0</v>
      </c>
      <c r="F4" s="4">
        <f t="shared" si="2"/>
        <v>6.1518196570525905E-3</v>
      </c>
      <c r="G4" s="4">
        <f t="shared" si="2"/>
        <v>0</v>
      </c>
      <c r="H4" s="4">
        <f t="shared" si="2"/>
        <v>0.15656587025320662</v>
      </c>
      <c r="I4" s="4">
        <f t="shared" si="2"/>
        <v>3.1237370934441819E-2</v>
      </c>
      <c r="J4" s="4">
        <f t="shared" si="2"/>
        <v>0</v>
      </c>
      <c r="K4" s="4">
        <f t="shared" si="0"/>
        <v>1.5170181749052705</v>
      </c>
    </row>
    <row r="5" spans="1:11" ht="18" x14ac:dyDescent="0.35">
      <c r="A5" s="2">
        <f t="shared" si="1"/>
        <v>3</v>
      </c>
      <c r="B5" s="1" t="s">
        <v>11</v>
      </c>
      <c r="C5" s="4">
        <f>C3</f>
        <v>0</v>
      </c>
      <c r="D5" s="4">
        <v>0.34480134971906312</v>
      </c>
      <c r="E5" s="4">
        <f t="shared" ref="E5:J5" si="3">E3</f>
        <v>1.7534231211380544</v>
      </c>
      <c r="F5" s="4">
        <f t="shared" si="3"/>
        <v>8.2752625114666644E-3</v>
      </c>
      <c r="G5" s="4">
        <f t="shared" si="3"/>
        <v>1.4012332202271671E-2</v>
      </c>
      <c r="H5" s="4">
        <f t="shared" si="3"/>
        <v>1.4292666501166196E-3</v>
      </c>
      <c r="I5" s="4">
        <f t="shared" si="3"/>
        <v>3.6477817859021072E-2</v>
      </c>
      <c r="J5" s="4">
        <f t="shared" si="3"/>
        <v>0</v>
      </c>
      <c r="K5" s="4">
        <f t="shared" si="0"/>
        <v>2.1584191500799932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C59D4-EFB5-4206-AC6D-A6C0FCAFBA21}">
  <dimension ref="A1:K5"/>
  <sheetViews>
    <sheetView zoomScale="115" zoomScaleNormal="115" workbookViewId="0">
      <selection activeCell="P8" sqref="P8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7.28515625" bestFit="1" customWidth="1"/>
  </cols>
  <sheetData>
    <row r="1" spans="1:11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</row>
    <row r="2" spans="1:11" ht="18" x14ac:dyDescent="0.35">
      <c r="A2" s="2">
        <v>0</v>
      </c>
      <c r="B2" s="1" t="s">
        <v>10</v>
      </c>
      <c r="C2" s="4">
        <f>economics_per_kg!C2*44</f>
        <v>31.031715395475448</v>
      </c>
      <c r="D2" s="4">
        <f>economics_per_kg!D2*44</f>
        <v>0</v>
      </c>
      <c r="E2" s="4">
        <f>economics_per_kg!E2*44</f>
        <v>0</v>
      </c>
      <c r="F2" s="4">
        <f>economics_per_kg!F2*44</f>
        <v>0.27068006491031399</v>
      </c>
      <c r="G2" s="4">
        <f>economics_per_kg!G2*44</f>
        <v>0</v>
      </c>
      <c r="H2" s="4">
        <f>economics_per_kg!H2*44</f>
        <v>6.888898291141091</v>
      </c>
      <c r="I2" s="4">
        <f>economics_per_kg!I2*44</f>
        <v>1.37444432111544</v>
      </c>
      <c r="J2" s="4">
        <f>economics_per_kg!J2*44</f>
        <v>0</v>
      </c>
      <c r="K2" s="4">
        <f>SUM(C2:J2)</f>
        <v>39.56573807264229</v>
      </c>
    </row>
    <row r="3" spans="1:11" ht="18" x14ac:dyDescent="0.35">
      <c r="A3" s="2">
        <f>A2+1</f>
        <v>1</v>
      </c>
      <c r="B3" s="1" t="s">
        <v>11</v>
      </c>
      <c r="C3" s="4">
        <f>economics_per_kg!C3*34</f>
        <v>0</v>
      </c>
      <c r="D3" s="4">
        <f>economics_per_kg!D3*34</f>
        <v>4.1342945916808187</v>
      </c>
      <c r="E3" s="4">
        <f>economics_per_kg!E3*34</f>
        <v>59.616386118693853</v>
      </c>
      <c r="F3" s="4">
        <f>economics_per_kg!F3*34</f>
        <v>0.28135892538986657</v>
      </c>
      <c r="G3" s="4">
        <f>economics_per_kg!G3*34</f>
        <v>0.47641929487723678</v>
      </c>
      <c r="H3" s="4">
        <f>economics_per_kg!H3*34</f>
        <v>4.8595066103965065E-2</v>
      </c>
      <c r="I3" s="4">
        <f>economics_per_kg!I3*34</f>
        <v>1.2402458072067164</v>
      </c>
      <c r="J3" s="4">
        <f>economics_per_kg!J3*34</f>
        <v>0</v>
      </c>
      <c r="K3" s="4">
        <f t="shared" ref="K3:K5" si="0">SUM(C3:J3)</f>
        <v>65.797299803952455</v>
      </c>
    </row>
    <row r="4" spans="1:11" ht="18" x14ac:dyDescent="0.35">
      <c r="A4" s="2">
        <f t="shared" ref="A4:A5" si="1">A3+1</f>
        <v>2</v>
      </c>
      <c r="B4" s="1" t="s">
        <v>10</v>
      </c>
      <c r="C4" s="4">
        <f>economics_per_kg!C4*44</f>
        <v>58.214777018665046</v>
      </c>
      <c r="D4" s="4">
        <f>economics_per_kg!D4*44</f>
        <v>0</v>
      </c>
      <c r="E4" s="4">
        <f>economics_per_kg!E4*44</f>
        <v>0</v>
      </c>
      <c r="F4" s="4">
        <f>economics_per_kg!F4*44</f>
        <v>0.27068006491031399</v>
      </c>
      <c r="G4" s="4">
        <f>economics_per_kg!G4*44</f>
        <v>0</v>
      </c>
      <c r="H4" s="4">
        <f>economics_per_kg!H4*44</f>
        <v>6.888898291141091</v>
      </c>
      <c r="I4" s="4">
        <f>economics_per_kg!I4*44</f>
        <v>1.37444432111544</v>
      </c>
      <c r="J4" s="4">
        <f>economics_per_kg!J4*44</f>
        <v>0</v>
      </c>
      <c r="K4" s="4">
        <f t="shared" si="0"/>
        <v>66.748799695831892</v>
      </c>
    </row>
    <row r="5" spans="1:11" ht="18" x14ac:dyDescent="0.35">
      <c r="A5" s="2">
        <f t="shared" si="1"/>
        <v>3</v>
      </c>
      <c r="B5" s="1" t="s">
        <v>11</v>
      </c>
      <c r="C5" s="4">
        <f>economics_per_kg!C5*34</f>
        <v>0</v>
      </c>
      <c r="D5" s="4">
        <f>economics_per_kg!D5*34</f>
        <v>11.723245890448146</v>
      </c>
      <c r="E5" s="4">
        <f>economics_per_kg!E5*34</f>
        <v>59.616386118693853</v>
      </c>
      <c r="F5" s="4">
        <f>economics_per_kg!F5*34</f>
        <v>0.28135892538986657</v>
      </c>
      <c r="G5" s="4">
        <f>economics_per_kg!G5*34</f>
        <v>0.47641929487723678</v>
      </c>
      <c r="H5" s="4">
        <f>economics_per_kg!H5*34</f>
        <v>4.8595066103965065E-2</v>
      </c>
      <c r="I5" s="4">
        <f>economics_per_kg!I5*34</f>
        <v>1.2402458072067164</v>
      </c>
      <c r="J5" s="4">
        <f>economics_per_kg!J5*34</f>
        <v>0</v>
      </c>
      <c r="K5" s="4">
        <f t="shared" si="0"/>
        <v>73.386251102719783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climate_change_per_kg</vt:lpstr>
      <vt:lpstr>climate_change_per_kmol</vt:lpstr>
      <vt:lpstr>economics_per_kg</vt:lpstr>
      <vt:lpstr>economics_per_kmol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2025-02-16T18:51:56Z</dcterms:modified>
</cp:coreProperties>
</file>