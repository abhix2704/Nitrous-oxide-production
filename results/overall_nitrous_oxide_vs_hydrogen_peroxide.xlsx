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ECB3A780-904F-4118-AE4D-4278AC1D0237}" xr6:coauthVersionLast="36" xr6:coauthVersionMax="47" xr10:uidLastSave="{00000000-0000-0000-0000-000000000000}"/>
  <bookViews>
    <workbookView xWindow="0" yWindow="495" windowWidth="21600" windowHeight="8715" xr2:uid="{00000000-000D-0000-FFFF-FFFF00000000}"/>
  </bookViews>
  <sheets>
    <sheet name="climate_change_per_kg" sheetId="15" r:id="rId1"/>
    <sheet name="climate_change_per_kmol" sheetId="14" r:id="rId2"/>
    <sheet name="economics_per_kg" sheetId="17" r:id="rId3"/>
    <sheet name="economics_per_kmol" sheetId="18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8" l="1"/>
  <c r="F4" i="18"/>
  <c r="F3" i="18"/>
  <c r="F2" i="18"/>
  <c r="F5" i="14"/>
  <c r="F4" i="14"/>
  <c r="F3" i="14"/>
  <c r="F2" i="14"/>
  <c r="F5" i="15"/>
  <c r="F5" i="17"/>
  <c r="F4" i="15"/>
  <c r="G4" i="15"/>
  <c r="G5" i="15"/>
  <c r="F4" i="17"/>
  <c r="M3" i="18" l="1"/>
  <c r="M5" i="18"/>
  <c r="M4" i="18"/>
  <c r="M2" i="18"/>
  <c r="M5" i="14" l="1"/>
  <c r="M4" i="14"/>
  <c r="M3" i="14"/>
  <c r="M2" i="14"/>
  <c r="D5" i="18"/>
  <c r="K3" i="18"/>
  <c r="J3" i="18"/>
  <c r="I3" i="18"/>
  <c r="H3" i="18"/>
  <c r="G3" i="18"/>
  <c r="E3" i="18"/>
  <c r="D3" i="18"/>
  <c r="C3" i="18"/>
  <c r="C4" i="18"/>
  <c r="K2" i="18"/>
  <c r="J2" i="18"/>
  <c r="I2" i="18"/>
  <c r="H2" i="18"/>
  <c r="G2" i="18"/>
  <c r="E2" i="18"/>
  <c r="D2" i="18"/>
  <c r="C2" i="18"/>
  <c r="A3" i="18"/>
  <c r="A4" i="18" s="1"/>
  <c r="A5" i="18" s="1"/>
  <c r="L2" i="18" l="1"/>
  <c r="L3" i="18"/>
  <c r="C5" i="17" l="1"/>
  <c r="K5" i="17"/>
  <c r="K5" i="18" s="1"/>
  <c r="J5" i="17"/>
  <c r="J5" i="18" s="1"/>
  <c r="I5" i="17"/>
  <c r="I5" i="18" s="1"/>
  <c r="H5" i="17"/>
  <c r="H5" i="18" s="1"/>
  <c r="G5" i="17"/>
  <c r="G5" i="18" s="1"/>
  <c r="E5" i="17"/>
  <c r="E5" i="18" s="1"/>
  <c r="I4" i="17"/>
  <c r="I4" i="18" s="1"/>
  <c r="K4" i="17"/>
  <c r="K4" i="18" s="1"/>
  <c r="J4" i="17"/>
  <c r="J4" i="18" s="1"/>
  <c r="H4" i="17"/>
  <c r="H4" i="18" s="1"/>
  <c r="G4" i="17"/>
  <c r="G4" i="18" s="1"/>
  <c r="E4" i="17"/>
  <c r="E4" i="18" s="1"/>
  <c r="D4" i="17"/>
  <c r="D4" i="18" s="1"/>
  <c r="L5" i="17" l="1"/>
  <c r="C5" i="18"/>
  <c r="L5" i="18" s="1"/>
  <c r="L4" i="18"/>
  <c r="L4" i="17"/>
  <c r="L3" i="17"/>
  <c r="A3" i="17"/>
  <c r="A4" i="17" s="1"/>
  <c r="A5" i="17" s="1"/>
  <c r="L2" i="17"/>
  <c r="J5" i="14"/>
  <c r="I5" i="14"/>
  <c r="H5" i="14"/>
  <c r="D5" i="14"/>
  <c r="K3" i="14"/>
  <c r="J3" i="14"/>
  <c r="I3" i="14"/>
  <c r="H3" i="14"/>
  <c r="G3" i="14"/>
  <c r="E3" i="14"/>
  <c r="D3" i="14"/>
  <c r="C3" i="14"/>
  <c r="G4" i="14"/>
  <c r="D4" i="14"/>
  <c r="C4" i="14"/>
  <c r="K2" i="14"/>
  <c r="J2" i="14"/>
  <c r="I2" i="14"/>
  <c r="H2" i="14"/>
  <c r="G2" i="14"/>
  <c r="E2" i="14"/>
  <c r="D2" i="14"/>
  <c r="C2" i="14"/>
  <c r="A3" i="14"/>
  <c r="A4" i="14" s="1"/>
  <c r="A5" i="14" s="1"/>
  <c r="K5" i="15"/>
  <c r="K5" i="14" s="1"/>
  <c r="J5" i="15"/>
  <c r="I5" i="15"/>
  <c r="H5" i="15"/>
  <c r="G5" i="14"/>
  <c r="E5" i="15"/>
  <c r="E5" i="14" s="1"/>
  <c r="C5" i="15"/>
  <c r="C5" i="14" s="1"/>
  <c r="L3" i="15"/>
  <c r="K4" i="15"/>
  <c r="J4" i="15"/>
  <c r="J4" i="14" s="1"/>
  <c r="I4" i="15"/>
  <c r="I4" i="14" s="1"/>
  <c r="H4" i="15"/>
  <c r="H4" i="14" s="1"/>
  <c r="E4" i="15"/>
  <c r="E4" i="14" s="1"/>
  <c r="D4" i="15"/>
  <c r="L2" i="15"/>
  <c r="L4" i="15" l="1"/>
  <c r="K4" i="14"/>
  <c r="L2" i="14"/>
  <c r="L5" i="14"/>
  <c r="L3" i="14"/>
  <c r="L4" i="14"/>
  <c r="L5" i="15"/>
  <c r="A3" i="15" l="1"/>
  <c r="A4" i="15" s="1"/>
  <c r="A5" i="15" s="1"/>
</calcChain>
</file>

<file path=xl/sharedStrings.xml><?xml version="1.0" encoding="utf-8"?>
<sst xmlns="http://schemas.openxmlformats.org/spreadsheetml/2006/main" count="64" uniqueCount="14">
  <si>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</si>
  <si>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</si>
  <si>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</si>
  <si>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</si>
  <si>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</si>
  <si>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</si>
  <si>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</si>
  <si>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</si>
  <si>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</si>
  <si>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</si>
  <si>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</si>
  <si>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</si>
  <si>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</si>
  <si>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Catalyst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</si>
</sst>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tabSelected="1" zoomScale="115" zoomScaleNormal="115" workbookViewId="0">
      <selection activeCell="M10" sqref="M10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20.5703125" customWidth="1"/>
    <col min="7" max="7" width="9.7109375" bestFit="1" customWidth="1"/>
    <col min="8" max="8" width="7.85546875" bestFit="1" customWidth="1"/>
    <col min="9" max="9" width="7.7109375" bestFit="1" customWidth="1"/>
    <col min="10" max="10" width="6.7109375" bestFit="1" customWidth="1"/>
    <col min="11" max="11" width="15.7109375" bestFit="1" customWidth="1"/>
    <col min="12" max="12" width="6.140625" bestFit="1" customWidth="1"/>
    <col min="13" max="13" width="12" bestFit="1" customWidth="1"/>
  </cols>
  <sheetData>
    <row r="1" spans="1:13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13</v>
      </c>
      <c r="G1" s="1" t="s">
        <v>0</v>
      </c>
      <c r="H1" s="1" t="s">
        <v>8</v>
      </c>
      <c r="I1" s="1" t="s">
        <v>9</v>
      </c>
      <c r="J1" s="1" t="s">
        <v>4</v>
      </c>
      <c r="K1" s="1" t="s">
        <v>2</v>
      </c>
      <c r="L1" s="3" t="s">
        <v>1</v>
      </c>
      <c r="M1" s="4" t="s">
        <v>12</v>
      </c>
    </row>
    <row r="2" spans="1:13" ht="18" x14ac:dyDescent="0.35">
      <c r="A2" s="2">
        <v>0</v>
      </c>
      <c r="B2" s="1" t="s">
        <v>10</v>
      </c>
      <c r="C2" s="4">
        <v>3.2956513670146448</v>
      </c>
      <c r="D2" s="4">
        <v>0</v>
      </c>
      <c r="E2" s="4">
        <v>0</v>
      </c>
      <c r="F2" s="4">
        <v>4.5948930655782269E-3</v>
      </c>
      <c r="G2" s="4">
        <v>4.4663073022187867E-2</v>
      </c>
      <c r="H2" s="4">
        <v>0</v>
      </c>
      <c r="I2" s="4">
        <v>1.0771319641479442</v>
      </c>
      <c r="J2" s="4">
        <v>0</v>
      </c>
      <c r="K2" s="4">
        <v>4.1427618661771248E-3</v>
      </c>
      <c r="L2" s="4">
        <f>SUM(C2:K2)</f>
        <v>4.4261840591165322</v>
      </c>
      <c r="M2" s="4">
        <v>3.03904716242775</v>
      </c>
    </row>
    <row r="3" spans="1:13" ht="18" x14ac:dyDescent="0.35">
      <c r="A3" s="2">
        <f>A2+1</f>
        <v>1</v>
      </c>
      <c r="B3" s="1" t="s">
        <v>11</v>
      </c>
      <c r="C3" s="4">
        <v>0</v>
      </c>
      <c r="D3" s="4">
        <v>0.93402477368019154</v>
      </c>
      <c r="E3" s="4">
        <v>7.159020601478655E-2</v>
      </c>
      <c r="F3" s="4">
        <v>2.9785049369702079E-5</v>
      </c>
      <c r="G3" s="4">
        <v>6.0084848449833729E-2</v>
      </c>
      <c r="H3" s="4">
        <v>0.1373612714488579</v>
      </c>
      <c r="I3" s="4">
        <v>1.2946870231381347E-3</v>
      </c>
      <c r="J3" s="4">
        <v>0</v>
      </c>
      <c r="K3" s="4">
        <v>8.1327667232785394E-2</v>
      </c>
      <c r="L3" s="4">
        <f>SUM(C3:K3)</f>
        <v>1.2857132388989629</v>
      </c>
      <c r="M3" s="4">
        <v>1.1316159298123001</v>
      </c>
    </row>
    <row r="4" spans="1:13" ht="18" x14ac:dyDescent="0.35">
      <c r="A4" s="2">
        <f t="shared" ref="A4:A5" si="0">A3+1</f>
        <v>2</v>
      </c>
      <c r="B4" s="1" t="s">
        <v>10</v>
      </c>
      <c r="C4" s="4">
        <v>0.78836444988837173</v>
      </c>
      <c r="D4" s="4">
        <f t="shared" ref="D4:K4" si="1">D2</f>
        <v>0</v>
      </c>
      <c r="E4" s="4">
        <f t="shared" si="1"/>
        <v>0</v>
      </c>
      <c r="F4" s="4">
        <f>F2</f>
        <v>4.5948930655782269E-3</v>
      </c>
      <c r="G4" s="4">
        <f t="shared" si="1"/>
        <v>4.4663073022187867E-2</v>
      </c>
      <c r="H4" s="4">
        <f t="shared" si="1"/>
        <v>0</v>
      </c>
      <c r="I4" s="4">
        <f t="shared" si="1"/>
        <v>1.0771319641479442</v>
      </c>
      <c r="J4" s="4">
        <f t="shared" si="1"/>
        <v>0</v>
      </c>
      <c r="K4" s="4">
        <f t="shared" si="1"/>
        <v>4.1427618661771248E-3</v>
      </c>
      <c r="L4" s="4">
        <f>SUM(C4:K4)</f>
        <v>1.9188971419902592</v>
      </c>
      <c r="M4" s="4">
        <v>8.9747948381511497E-2</v>
      </c>
    </row>
    <row r="5" spans="1:13" ht="18" x14ac:dyDescent="0.35">
      <c r="A5" s="2">
        <f t="shared" si="0"/>
        <v>3</v>
      </c>
      <c r="B5" s="1" t="s">
        <v>11</v>
      </c>
      <c r="C5" s="4">
        <f>C3</f>
        <v>0</v>
      </c>
      <c r="D5" s="4">
        <v>0.14054270293045379</v>
      </c>
      <c r="E5" s="4">
        <f t="shared" ref="E5:K5" si="2">E3</f>
        <v>7.159020601478655E-2</v>
      </c>
      <c r="F5" s="4">
        <f>F3</f>
        <v>2.9785049369702079E-5</v>
      </c>
      <c r="G5" s="4">
        <f t="shared" si="2"/>
        <v>6.0084848449833729E-2</v>
      </c>
      <c r="H5" s="4">
        <f t="shared" si="2"/>
        <v>0.1373612714488579</v>
      </c>
      <c r="I5" s="4">
        <f t="shared" si="2"/>
        <v>1.2946870231381347E-3</v>
      </c>
      <c r="J5" s="4">
        <f t="shared" si="2"/>
        <v>0</v>
      </c>
      <c r="K5" s="4">
        <f t="shared" si="2"/>
        <v>8.1327667232785394E-2</v>
      </c>
      <c r="L5" s="4">
        <f>SUM(C5:K5)</f>
        <v>0.49223116814922518</v>
      </c>
      <c r="M5" s="4">
        <v>0.34567536123042802</v>
      </c>
    </row>
  </sheetData>
  <conditionalFormatting sqref="L2:L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7EC0-0273-470A-BF1C-FDFDD2F0E9BF}">
  <dimension ref="A1:M5"/>
  <sheetViews>
    <sheetView zoomScale="115" zoomScaleNormal="115" workbookViewId="0">
      <selection activeCell="G17" sqref="G17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20.5703125" customWidth="1"/>
    <col min="7" max="7" width="9.7109375" bestFit="1" customWidth="1"/>
    <col min="8" max="8" width="7.85546875" bestFit="1" customWidth="1"/>
    <col min="9" max="9" width="7.7109375" bestFit="1" customWidth="1"/>
    <col min="10" max="10" width="6.7109375" bestFit="1" customWidth="1"/>
    <col min="11" max="11" width="15.7109375" bestFit="1" customWidth="1"/>
    <col min="12" max="12" width="8.28515625" bestFit="1" customWidth="1"/>
    <col min="13" max="13" width="12" bestFit="1" customWidth="1"/>
  </cols>
  <sheetData>
    <row r="1" spans="1:13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13</v>
      </c>
      <c r="G1" s="1" t="s">
        <v>0</v>
      </c>
      <c r="H1" s="1" t="s">
        <v>8</v>
      </c>
      <c r="I1" s="1" t="s">
        <v>9</v>
      </c>
      <c r="J1" s="1" t="s">
        <v>4</v>
      </c>
      <c r="K1" s="1" t="s">
        <v>2</v>
      </c>
      <c r="L1" s="3" t="s">
        <v>1</v>
      </c>
      <c r="M1" s="5" t="s">
        <v>12</v>
      </c>
    </row>
    <row r="2" spans="1:13" ht="18" x14ac:dyDescent="0.35">
      <c r="A2" s="2">
        <v>0</v>
      </c>
      <c r="B2" s="1" t="s">
        <v>10</v>
      </c>
      <c r="C2" s="4">
        <f>climate_change_per_kg!C2*44</f>
        <v>145.00866014864437</v>
      </c>
      <c r="D2" s="4">
        <f>climate_change_per_kg!D2*44</f>
        <v>0</v>
      </c>
      <c r="E2" s="4">
        <f>climate_change_per_kg!E2*44</f>
        <v>0</v>
      </c>
      <c r="F2" s="4">
        <f>climate_change_per_kg!F2*44</f>
        <v>0.20217529488544198</v>
      </c>
      <c r="G2" s="4">
        <f>climate_change_per_kg!G2*44</f>
        <v>1.9651752129762661</v>
      </c>
      <c r="H2" s="4">
        <f>climate_change_per_kg!H2*44</f>
        <v>0</v>
      </c>
      <c r="I2" s="4">
        <f>climate_change_per_kg!I2*44</f>
        <v>47.393806422509542</v>
      </c>
      <c r="J2" s="4">
        <f>climate_change_per_kg!J2*44</f>
        <v>0</v>
      </c>
      <c r="K2" s="4">
        <f>climate_change_per_kg!K2*44</f>
        <v>0.18228152211179349</v>
      </c>
      <c r="L2" s="4">
        <f>SUM(C2:K2)</f>
        <v>194.75209860112744</v>
      </c>
      <c r="M2" s="4">
        <f>climate_change_per_kg!M2*44</f>
        <v>133.71807514682101</v>
      </c>
    </row>
    <row r="3" spans="1:13" ht="18" x14ac:dyDescent="0.35">
      <c r="A3" s="2">
        <f>A2+1</f>
        <v>1</v>
      </c>
      <c r="B3" s="1" t="s">
        <v>11</v>
      </c>
      <c r="C3" s="4">
        <f>climate_change_per_kg!C3*34</f>
        <v>0</v>
      </c>
      <c r="D3" s="4">
        <f>climate_change_per_kg!D3*34</f>
        <v>31.756842305126511</v>
      </c>
      <c r="E3" s="4">
        <f>climate_change_per_kg!E3*34</f>
        <v>2.4340670045027428</v>
      </c>
      <c r="F3" s="4">
        <f>climate_change_per_kg!F3*34</f>
        <v>1.0126916785698707E-3</v>
      </c>
      <c r="G3" s="4">
        <f>climate_change_per_kg!G3*34</f>
        <v>2.0428848472943466</v>
      </c>
      <c r="H3" s="4">
        <f>climate_change_per_kg!H3*34</f>
        <v>4.6702832292611687</v>
      </c>
      <c r="I3" s="4">
        <f>climate_change_per_kg!I3*34</f>
        <v>4.4019358786696577E-2</v>
      </c>
      <c r="J3" s="4">
        <f>climate_change_per_kg!J3*34</f>
        <v>0</v>
      </c>
      <c r="K3" s="4">
        <f>climate_change_per_kg!K3*34</f>
        <v>2.7651406859147034</v>
      </c>
      <c r="L3" s="4">
        <f t="shared" ref="L3:L5" si="0">SUM(C3:K3)</f>
        <v>43.714250122564735</v>
      </c>
      <c r="M3" s="4">
        <f>climate_change_per_kg!M3*34</f>
        <v>38.474941613618199</v>
      </c>
    </row>
    <row r="4" spans="1:13" ht="18" x14ac:dyDescent="0.35">
      <c r="A4" s="2">
        <f t="shared" ref="A4:A5" si="1">A3+1</f>
        <v>2</v>
      </c>
      <c r="B4" s="1" t="s">
        <v>10</v>
      </c>
      <c r="C4" s="4">
        <f>climate_change_per_kg!C4*44</f>
        <v>34.688035795088354</v>
      </c>
      <c r="D4" s="4">
        <f>climate_change_per_kg!D4*44</f>
        <v>0</v>
      </c>
      <c r="E4" s="4">
        <f>climate_change_per_kg!E4*44</f>
        <v>0</v>
      </c>
      <c r="F4" s="4">
        <f>climate_change_per_kg!F4*44</f>
        <v>0.20217529488544198</v>
      </c>
      <c r="G4" s="4">
        <f>climate_change_per_kg!G4*44</f>
        <v>1.9651752129762661</v>
      </c>
      <c r="H4" s="4">
        <f>climate_change_per_kg!H4*44</f>
        <v>0</v>
      </c>
      <c r="I4" s="4">
        <f>climate_change_per_kg!I4*44</f>
        <v>47.393806422509542</v>
      </c>
      <c r="J4" s="4">
        <f>climate_change_per_kg!J4*44</f>
        <v>0</v>
      </c>
      <c r="K4" s="4">
        <f>climate_change_per_kg!K4*44</f>
        <v>0.18228152211179349</v>
      </c>
      <c r="L4" s="4">
        <f t="shared" si="0"/>
        <v>84.431474247571401</v>
      </c>
      <c r="M4" s="4">
        <f>climate_change_per_kg!M4*44</f>
        <v>3.9489097287865058</v>
      </c>
    </row>
    <row r="5" spans="1:13" ht="18" x14ac:dyDescent="0.35">
      <c r="A5" s="2">
        <f t="shared" si="1"/>
        <v>3</v>
      </c>
      <c r="B5" s="1" t="s">
        <v>11</v>
      </c>
      <c r="C5" s="4">
        <f>climate_change_per_kg!C5*34</f>
        <v>0</v>
      </c>
      <c r="D5" s="4">
        <f>climate_change_per_kg!D5*34</f>
        <v>4.7784518996354288</v>
      </c>
      <c r="E5" s="4">
        <f>climate_change_per_kg!E5*34</f>
        <v>2.4340670045027428</v>
      </c>
      <c r="F5" s="4">
        <f>climate_change_per_kg!F5*34</f>
        <v>1.0126916785698707E-3</v>
      </c>
      <c r="G5" s="4">
        <f>climate_change_per_kg!G5*34</f>
        <v>2.0428848472943466</v>
      </c>
      <c r="H5" s="4">
        <f>climate_change_per_kg!H5*34</f>
        <v>4.6702832292611687</v>
      </c>
      <c r="I5" s="4">
        <f>climate_change_per_kg!I5*34</f>
        <v>4.4019358786696577E-2</v>
      </c>
      <c r="J5" s="4">
        <f>climate_change_per_kg!J5*34</f>
        <v>0</v>
      </c>
      <c r="K5" s="4">
        <f>climate_change_per_kg!K5*34</f>
        <v>2.7651406859147034</v>
      </c>
      <c r="L5" s="4">
        <f t="shared" si="0"/>
        <v>16.735859717073659</v>
      </c>
      <c r="M5" s="4">
        <f>climate_change_per_kg!M5*34</f>
        <v>11.752962281834552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M5"/>
  <sheetViews>
    <sheetView zoomScale="115" zoomScaleNormal="115" workbookViewId="0">
      <selection activeCell="M17" sqref="M17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20.5703125" customWidth="1"/>
    <col min="7" max="7" width="9.7109375" bestFit="1" customWidth="1"/>
    <col min="8" max="8" width="7.85546875" bestFit="1" customWidth="1"/>
    <col min="9" max="9" width="7.7109375" bestFit="1" customWidth="1"/>
    <col min="10" max="10" width="6.7109375" bestFit="1" customWidth="1"/>
    <col min="11" max="11" width="15.7109375" bestFit="1" customWidth="1"/>
    <col min="12" max="12" width="6.140625" bestFit="1" customWidth="1"/>
    <col min="13" max="13" width="12" bestFit="1" customWidth="1"/>
  </cols>
  <sheetData>
    <row r="1" spans="1:13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13</v>
      </c>
      <c r="G1" s="1" t="s">
        <v>0</v>
      </c>
      <c r="H1" s="1" t="s">
        <v>8</v>
      </c>
      <c r="I1" s="1" t="s">
        <v>9</v>
      </c>
      <c r="J1" s="1" t="s">
        <v>4</v>
      </c>
      <c r="K1" s="1" t="s">
        <v>2</v>
      </c>
      <c r="L1" s="3" t="s">
        <v>1</v>
      </c>
      <c r="M1" s="4" t="s">
        <v>12</v>
      </c>
    </row>
    <row r="2" spans="1:13" ht="18" x14ac:dyDescent="0.35">
      <c r="A2" s="2">
        <v>0</v>
      </c>
      <c r="B2" s="1" t="s">
        <v>10</v>
      </c>
      <c r="C2" s="4">
        <v>0.66966301383587246</v>
      </c>
      <c r="D2" s="4">
        <v>0</v>
      </c>
      <c r="E2" s="4">
        <v>0</v>
      </c>
      <c r="F2" s="4">
        <v>5.2915975048236277E-3</v>
      </c>
      <c r="G2" s="4">
        <v>5.6797478204711569E-3</v>
      </c>
      <c r="H2" s="4">
        <v>0</v>
      </c>
      <c r="I2" s="4">
        <v>0.10084034442435859</v>
      </c>
      <c r="J2" s="4">
        <v>3.6329860958635281E-2</v>
      </c>
      <c r="K2" s="4">
        <v>0</v>
      </c>
      <c r="L2" s="4">
        <f>SUM(C2:K2)</f>
        <v>0.81780456454416128</v>
      </c>
      <c r="M2" s="4">
        <v>0.74123231010442647</v>
      </c>
    </row>
    <row r="3" spans="1:13" ht="18" x14ac:dyDescent="0.35">
      <c r="A3" s="2">
        <f>A2+1</f>
        <v>1</v>
      </c>
      <c r="B3" s="1" t="s">
        <v>11</v>
      </c>
      <c r="C3" s="4">
        <v>0</v>
      </c>
      <c r="D3" s="4">
        <v>0.12159689975531821</v>
      </c>
      <c r="E3" s="4">
        <v>1.7534231211380544</v>
      </c>
      <c r="F3" s="4">
        <v>1.702481917214814E-4</v>
      </c>
      <c r="G3" s="4">
        <v>8.2752625114666644E-3</v>
      </c>
      <c r="H3" s="4">
        <v>1.4012332202271671E-2</v>
      </c>
      <c r="I3" s="4">
        <v>1.4292666501166196E-3</v>
      </c>
      <c r="J3" s="4">
        <v>3.6477817859021072E-2</v>
      </c>
      <c r="K3" s="4">
        <v>0</v>
      </c>
      <c r="L3" s="4">
        <f>SUM(C3:K3)</f>
        <v>1.9353849483079699</v>
      </c>
      <c r="M3" s="4">
        <v>1.9222716127473349</v>
      </c>
    </row>
    <row r="4" spans="1:13" ht="18" x14ac:dyDescent="0.35">
      <c r="A4" s="2">
        <f t="shared" ref="A4:A5" si="0">A3+1</f>
        <v>2</v>
      </c>
      <c r="B4" s="1" t="s">
        <v>10</v>
      </c>
      <c r="C4" s="4">
        <v>1.2562722534438617</v>
      </c>
      <c r="D4" s="4">
        <f t="shared" ref="D4:K4" si="1">D2</f>
        <v>0</v>
      </c>
      <c r="E4" s="4">
        <f t="shared" si="1"/>
        <v>0</v>
      </c>
      <c r="F4" s="4">
        <f>F2</f>
        <v>5.2915975048236277E-3</v>
      </c>
      <c r="G4" s="4">
        <f t="shared" si="1"/>
        <v>5.6797478204711569E-3</v>
      </c>
      <c r="H4" s="4">
        <f t="shared" si="1"/>
        <v>0</v>
      </c>
      <c r="I4" s="4">
        <f t="shared" si="1"/>
        <v>0.10084034442435859</v>
      </c>
      <c r="J4" s="4">
        <f t="shared" si="1"/>
        <v>3.6329860958635281E-2</v>
      </c>
      <c r="K4" s="4">
        <f t="shared" si="1"/>
        <v>0</v>
      </c>
      <c r="L4" s="4">
        <f>SUM(C4:K4)</f>
        <v>1.4044138041521503</v>
      </c>
      <c r="M4" s="4">
        <v>0.99399999999999999</v>
      </c>
    </row>
    <row r="5" spans="1:13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0.40893343934519616</v>
      </c>
      <c r="E5" s="4">
        <f t="shared" ref="E5:K5" si="2">E3</f>
        <v>1.7534231211380544</v>
      </c>
      <c r="F5" s="4">
        <f>F3</f>
        <v>1.702481917214814E-4</v>
      </c>
      <c r="G5" s="4">
        <f t="shared" si="2"/>
        <v>8.2752625114666644E-3</v>
      </c>
      <c r="H5" s="4">
        <f t="shared" si="2"/>
        <v>1.4012332202271671E-2</v>
      </c>
      <c r="I5" s="4">
        <f t="shared" si="2"/>
        <v>1.4292666501166196E-3</v>
      </c>
      <c r="J5" s="4">
        <f t="shared" si="2"/>
        <v>3.6477817859021072E-2</v>
      </c>
      <c r="K5" s="4">
        <f t="shared" si="2"/>
        <v>0</v>
      </c>
      <c r="L5" s="4">
        <f>SUM(C5:K5)</f>
        <v>2.2227214878978478</v>
      </c>
      <c r="M5" s="4">
        <v>2.0440955842108801</v>
      </c>
    </row>
  </sheetData>
  <conditionalFormatting sqref="L2:L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C59D4-EFB5-4206-AC6D-A6C0FCAFBA21}">
  <dimension ref="A1:M5"/>
  <sheetViews>
    <sheetView zoomScale="115" zoomScaleNormal="115" workbookViewId="0">
      <selection activeCell="L10" sqref="L10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20.5703125" customWidth="1"/>
    <col min="7" max="7" width="9.7109375" bestFit="1" customWidth="1"/>
    <col min="8" max="8" width="7.85546875" bestFit="1" customWidth="1"/>
    <col min="9" max="9" width="7.7109375" bestFit="1" customWidth="1"/>
    <col min="10" max="10" width="6.7109375" bestFit="1" customWidth="1"/>
    <col min="11" max="11" width="15.7109375" bestFit="1" customWidth="1"/>
    <col min="12" max="12" width="7.28515625" bestFit="1" customWidth="1"/>
    <col min="13" max="13" width="12" bestFit="1" customWidth="1"/>
  </cols>
  <sheetData>
    <row r="1" spans="1:13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13</v>
      </c>
      <c r="G1" s="1" t="s">
        <v>0</v>
      </c>
      <c r="H1" s="1" t="s">
        <v>8</v>
      </c>
      <c r="I1" s="1" t="s">
        <v>9</v>
      </c>
      <c r="J1" s="1" t="s">
        <v>4</v>
      </c>
      <c r="K1" s="1" t="s">
        <v>2</v>
      </c>
      <c r="L1" s="3" t="s">
        <v>1</v>
      </c>
      <c r="M1" s="5" t="s">
        <v>12</v>
      </c>
    </row>
    <row r="2" spans="1:13" ht="18" x14ac:dyDescent="0.35">
      <c r="A2" s="2">
        <v>0</v>
      </c>
      <c r="B2" s="1" t="s">
        <v>10</v>
      </c>
      <c r="C2" s="4">
        <f>economics_per_kg!C2*44</f>
        <v>29.465172608778389</v>
      </c>
      <c r="D2" s="4">
        <f>economics_per_kg!D2*44</f>
        <v>0</v>
      </c>
      <c r="E2" s="4">
        <f>economics_per_kg!E2*44</f>
        <v>0</v>
      </c>
      <c r="F2" s="4">
        <f>economics_per_kg!F2*44</f>
        <v>0.23283029021223961</v>
      </c>
      <c r="G2" s="4">
        <f>economics_per_kg!G2*44</f>
        <v>0.24990890410073091</v>
      </c>
      <c r="H2" s="4">
        <f>economics_per_kg!H2*44</f>
        <v>0</v>
      </c>
      <c r="I2" s="4">
        <f>economics_per_kg!I2*44</f>
        <v>4.4369751546717779</v>
      </c>
      <c r="J2" s="4">
        <f>economics_per_kg!J2*44</f>
        <v>1.5985138821799523</v>
      </c>
      <c r="K2" s="4">
        <f>economics_per_kg!K2*44</f>
        <v>0</v>
      </c>
      <c r="L2" s="4">
        <f>SUM(C2:K2)</f>
        <v>35.983400839943087</v>
      </c>
      <c r="M2" s="4">
        <f>economics_per_kg!M2*44</f>
        <v>32.614221644594764</v>
      </c>
    </row>
    <row r="3" spans="1:13" ht="18" x14ac:dyDescent="0.35">
      <c r="A3" s="2">
        <f>A2+1</f>
        <v>1</v>
      </c>
      <c r="B3" s="1" t="s">
        <v>11</v>
      </c>
      <c r="C3" s="4">
        <f>economics_per_kg!C3*34</f>
        <v>0</v>
      </c>
      <c r="D3" s="4">
        <f>economics_per_kg!D3*34</f>
        <v>4.1342945916808187</v>
      </c>
      <c r="E3" s="4">
        <f>economics_per_kg!E3*34</f>
        <v>59.616386118693853</v>
      </c>
      <c r="F3" s="4">
        <f>economics_per_kg!F3*34</f>
        <v>5.7884385185303679E-3</v>
      </c>
      <c r="G3" s="4">
        <f>economics_per_kg!G3*34</f>
        <v>0.28135892538986657</v>
      </c>
      <c r="H3" s="4">
        <f>economics_per_kg!H3*34</f>
        <v>0.47641929487723678</v>
      </c>
      <c r="I3" s="4">
        <f>economics_per_kg!I3*34</f>
        <v>4.8595066103965065E-2</v>
      </c>
      <c r="J3" s="4">
        <f>economics_per_kg!J3*34</f>
        <v>1.2402458072067164</v>
      </c>
      <c r="K3" s="4">
        <f>economics_per_kg!K3*34</f>
        <v>0</v>
      </c>
      <c r="L3" s="4">
        <f t="shared" ref="L3:L5" si="0">SUM(C3:K3)</f>
        <v>65.803088242470992</v>
      </c>
      <c r="M3" s="4">
        <f>economics_per_kg!M3*34</f>
        <v>65.357234833409393</v>
      </c>
    </row>
    <row r="4" spans="1:13" ht="18" x14ac:dyDescent="0.35">
      <c r="A4" s="2">
        <f t="shared" ref="A4:A5" si="1">A3+1</f>
        <v>2</v>
      </c>
      <c r="B4" s="1" t="s">
        <v>10</v>
      </c>
      <c r="C4" s="4">
        <f>economics_per_kg!C4*44</f>
        <v>55.275979151529917</v>
      </c>
      <c r="D4" s="4">
        <f>economics_per_kg!D4*44</f>
        <v>0</v>
      </c>
      <c r="E4" s="4">
        <f>economics_per_kg!E4*44</f>
        <v>0</v>
      </c>
      <c r="F4" s="4">
        <f>economics_per_kg!F4*44</f>
        <v>0.23283029021223961</v>
      </c>
      <c r="G4" s="4">
        <f>economics_per_kg!G4*44</f>
        <v>0.24990890410073091</v>
      </c>
      <c r="H4" s="4">
        <f>economics_per_kg!H4*44</f>
        <v>0</v>
      </c>
      <c r="I4" s="4">
        <f>economics_per_kg!I4*44</f>
        <v>4.4369751546717779</v>
      </c>
      <c r="J4" s="4">
        <f>economics_per_kg!J4*44</f>
        <v>1.5985138821799523</v>
      </c>
      <c r="K4" s="4">
        <f>economics_per_kg!K4*44</f>
        <v>0</v>
      </c>
      <c r="L4" s="4">
        <f t="shared" si="0"/>
        <v>61.794207382694616</v>
      </c>
      <c r="M4" s="4">
        <f>economics_per_kg!M4*44</f>
        <v>43.735999999999997</v>
      </c>
    </row>
    <row r="5" spans="1:13" ht="18" x14ac:dyDescent="0.35">
      <c r="A5" s="2">
        <f t="shared" si="1"/>
        <v>3</v>
      </c>
      <c r="B5" s="1" t="s">
        <v>11</v>
      </c>
      <c r="C5" s="4">
        <f>economics_per_kg!C5*34</f>
        <v>0</v>
      </c>
      <c r="D5" s="4">
        <f>economics_per_kg!D5*34</f>
        <v>13.903736937736669</v>
      </c>
      <c r="E5" s="4">
        <f>economics_per_kg!E5*34</f>
        <v>59.616386118693853</v>
      </c>
      <c r="F5" s="4">
        <f>economics_per_kg!F5*34</f>
        <v>5.7884385185303679E-3</v>
      </c>
      <c r="G5" s="4">
        <f>economics_per_kg!G5*34</f>
        <v>0.28135892538986657</v>
      </c>
      <c r="H5" s="4">
        <f>economics_per_kg!H5*34</f>
        <v>0.47641929487723678</v>
      </c>
      <c r="I5" s="4">
        <f>economics_per_kg!I5*34</f>
        <v>4.8595066103965065E-2</v>
      </c>
      <c r="J5" s="4">
        <f>economics_per_kg!J5*34</f>
        <v>1.2402458072067164</v>
      </c>
      <c r="K5" s="4">
        <f>economics_per_kg!K5*34</f>
        <v>0</v>
      </c>
      <c r="L5" s="4">
        <f t="shared" si="0"/>
        <v>75.572530588526845</v>
      </c>
      <c r="M5" s="4">
        <f>economics_per_kg!M5*34</f>
        <v>69.499249863169922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climate_change_per_kg</vt:lpstr>
      <vt:lpstr>climate_change_per_kmol</vt:lpstr>
      <vt:lpstr>economics_per_kg</vt:lpstr>
      <vt:lpstr>economics_per_kmol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2025-04-14T15:56:19Z</dcterms:modified>
</cp:coreProperties>
</file>