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8_NS\"/>
    </mc:Choice>
  </mc:AlternateContent>
  <xr:revisionPtr revIDLastSave="0" documentId="13_ncr:1_{A58BF46E-26A7-4925-B5B2-04BC9080CCFB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1" l="1"/>
  <c r="D7" i="8" l="1"/>
  <c r="D6" i="8"/>
  <c r="D36" i="7"/>
  <c r="D35" i="7"/>
  <c r="D34" i="7"/>
  <c r="D33" i="7"/>
  <c r="D32" i="7"/>
  <c r="H32" i="7" s="1"/>
  <c r="D31" i="7"/>
  <c r="D29" i="7"/>
  <c r="O19" i="7"/>
  <c r="N19" i="7"/>
  <c r="M19" i="7"/>
  <c r="P18" i="7"/>
  <c r="Q18" i="7" s="1"/>
  <c r="P17" i="7"/>
  <c r="Q17" i="7" s="1"/>
  <c r="P16" i="7"/>
  <c r="Q16" i="7" s="1"/>
  <c r="P15" i="7"/>
  <c r="Q15" i="7" s="1"/>
  <c r="P14" i="7"/>
  <c r="Q14" i="7" s="1"/>
  <c r="O18" i="7"/>
  <c r="O17" i="7"/>
  <c r="O16" i="7"/>
  <c r="O15" i="7"/>
  <c r="O14" i="7"/>
  <c r="O13" i="7"/>
  <c r="D21" i="7"/>
  <c r="D22" i="7"/>
  <c r="D23" i="7"/>
  <c r="D24" i="7"/>
  <c r="D25" i="7"/>
  <c r="D26" i="7"/>
  <c r="D27" i="7"/>
  <c r="H35" i="7"/>
  <c r="H34" i="7"/>
  <c r="H33" i="7"/>
  <c r="H36" i="7"/>
  <c r="H19" i="7"/>
  <c r="H18" i="7"/>
  <c r="H17" i="7"/>
  <c r="H16" i="7"/>
  <c r="R16" i="7" l="1"/>
  <c r="T16" i="7" s="1"/>
  <c r="R17" i="7"/>
  <c r="T17" i="7" s="1"/>
  <c r="R18" i="7"/>
  <c r="T18" i="7" s="1"/>
  <c r="R15" i="7"/>
  <c r="T15" i="7" s="1"/>
  <c r="R14" i="7"/>
  <c r="T14" i="7" s="1"/>
  <c r="E17" i="8"/>
  <c r="E19" i="8" l="1"/>
  <c r="E10" i="8" l="1"/>
  <c r="F10" i="8" l="1"/>
  <c r="G10" i="8" s="1"/>
  <c r="E11" i="8"/>
  <c r="E9" i="8"/>
  <c r="H27" i="7"/>
  <c r="H26" i="7"/>
  <c r="H25" i="7"/>
  <c r="H24" i="7"/>
  <c r="H23" i="7"/>
  <c r="H22" i="7"/>
  <c r="H21" i="7" l="1"/>
  <c r="H15" i="7" l="1"/>
  <c r="H14" i="7" l="1"/>
  <c r="F17" i="11" l="1"/>
  <c r="F16" i="11"/>
  <c r="F15" i="11"/>
  <c r="F11" i="8"/>
  <c r="G11" i="8" s="1"/>
  <c r="F5" i="8"/>
  <c r="F7" i="8"/>
  <c r="G7" i="8" s="1"/>
  <c r="F6" i="8"/>
  <c r="G6" i="8" s="1"/>
  <c r="F9" i="8" l="1"/>
  <c r="G9" i="8" s="1"/>
  <c r="H10" i="8" s="1"/>
  <c r="F12" i="8" l="1"/>
  <c r="C20" i="11" s="1"/>
  <c r="F13" i="8"/>
  <c r="F20" i="11" s="1"/>
  <c r="C14" i="11"/>
  <c r="F14" i="11" s="1"/>
  <c r="C13" i="11"/>
  <c r="F13" i="11" s="1"/>
  <c r="C12" i="11"/>
  <c r="F12" i="11" s="1"/>
  <c r="C11" i="11"/>
  <c r="F11" i="11" s="1"/>
  <c r="C6" i="12"/>
  <c r="C7" i="12" s="1"/>
  <c r="B54" i="7"/>
  <c r="C8" i="12" l="1"/>
  <c r="C9" i="12" s="1"/>
  <c r="P19" i="7" l="1"/>
  <c r="Q19" i="7" s="1"/>
  <c r="R19" i="7" s="1"/>
  <c r="T19" i="7" s="1"/>
  <c r="H29" i="7" l="1"/>
  <c r="P13" i="7" l="1"/>
  <c r="Q13" i="7" s="1"/>
  <c r="R13" i="7" s="1"/>
  <c r="T13" i="7" s="1"/>
  <c r="H31" i="7" s="1"/>
  <c r="H37" i="7" s="1"/>
  <c r="B41" i="7" l="1"/>
  <c r="B42" i="7"/>
  <c r="B45" i="7" l="1"/>
  <c r="C3" i="11"/>
  <c r="F3" i="11" s="1"/>
  <c r="B49" i="7" l="1"/>
  <c r="B46" i="7"/>
  <c r="B48" i="7" s="1"/>
  <c r="C7" i="11" s="1"/>
  <c r="F7" i="11" s="1"/>
  <c r="C11" i="12"/>
  <c r="C4" i="11"/>
  <c r="F4" i="11" s="1"/>
  <c r="C15" i="12" l="1"/>
  <c r="B47" i="7"/>
  <c r="C6" i="11" s="1"/>
  <c r="F6" i="11" s="1"/>
  <c r="C5" i="11"/>
  <c r="F5" i="11" s="1"/>
  <c r="C12" i="12"/>
  <c r="C14" i="12"/>
  <c r="C16" i="12" s="1"/>
  <c r="B50" i="7"/>
  <c r="C8" i="11"/>
  <c r="F8" i="11" s="1"/>
  <c r="B51" i="7" l="1"/>
  <c r="C18" i="12"/>
  <c r="C19" i="12" s="1"/>
  <c r="C20" i="12" s="1"/>
  <c r="C9" i="11"/>
  <c r="F9" i="11" s="1"/>
  <c r="C10" i="11" l="1"/>
  <c r="F10" i="11" s="1"/>
  <c r="B55" i="7"/>
  <c r="B56" i="7" s="1"/>
  <c r="C18" i="11" s="1"/>
  <c r="F18" i="11" l="1"/>
  <c r="C21" i="11"/>
  <c r="C22" i="11" s="1"/>
  <c r="C24" i="11" s="1"/>
  <c r="F21" i="11" l="1"/>
  <c r="F22" i="11" s="1"/>
  <c r="F24" i="11" s="1"/>
</calcChain>
</file>

<file path=xl/sharedStrings.xml><?xml version="1.0" encoding="utf-8"?>
<sst xmlns="http://schemas.openxmlformats.org/spreadsheetml/2006/main" count="226" uniqueCount="135">
  <si>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</si>
  <si>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</si>
  <si>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</si>
  <si>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</si>
  <si>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</si>
  <si>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</si>
  <si>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</si>
  <si>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</si>
  <si>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</si>
  <si>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</si>
  <si>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</si>
  <si>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</si>
  <si>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</si>
  <si>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</si>
  <si>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</si>
  <si>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</si>
  <si>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</si>
  <si>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</si>
  <si>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</si>
  <si>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</si>
  <si>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</si>
  <si>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</si>
  <si>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</si>
  <si>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</si>
  <si>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</si>
  <si>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</si>
  <si>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</si>
  <si>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</si>
  <si>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</si>
  <si>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</si>
  <si>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</si>
  <si>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</si>
  <si>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</si>
  <si>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</si>
  <si>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</si>
  <si>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</si>
  <si>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</si>
  <si>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</si>
  <si>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</si>
  <si>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</si>
  <si>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</si>
  <si>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</si>
  <si>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</si>
  <si>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</si>
  <si>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</si>
  <si>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</si>
  <si>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</si>
  <si>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</si>
  <si>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</si>
  <si>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</si>
  <si>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</si>
  <si>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</si>
  <si>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</si>
  <si>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</si>
  <si>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</si>
  <si>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</si>
  <si>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</si>
  <si>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</si>
  <si>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</si>
  <si>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</si>
  <si>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</si>
  <si>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</si>
  <si>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</si>
  <si>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</si>
  <si>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</si>
  <si>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</si>
  <si>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</si>
  <si>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</si>
  <si>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</si>
  <si>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</si>
  <si>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</si>
  <si>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</si>
  <si>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</si>
  <si>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</si>
  <si>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</si>
  <si>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</si>
  <si>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</si>
  <si>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</si>
  <si>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</si>
  <si>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</si>
  <si>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</si>
  <si>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</si>
  <si>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</si>
  <si>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</si>
  <si>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</si>
  <si>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</si>
  <si>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</si>
  <si>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</si>
  <si>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</si>
  <si>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</si>
  <si>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</si>
  <si>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</si>
  <si>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</si>
  <si>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</si>
  <si>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</si>
  <si>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</si>
  <si>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</si>
  <si>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</si>
  <si>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</si>
  <si>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</si>
  <si>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</si>
  <si>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</si>
  <si>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</si>
  <si>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</si>
  <si>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</si>
  <si>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</si>
  <si>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</si>
  <si>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</si>
  <si>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</si>
  <si>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</si>
  <si>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</si>
  <si>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</si>
  <si>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</si>
  <si>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</si>
  <si>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E-103</t>
  </si>
  <si>
    <t>E-104</t>
  </si>
  <si>
    <t>E-105</t>
  </si>
  <si>
    <t>E-106</t>
  </si>
  <si>
    <t>E-107</t>
  </si>
  <si>
    <t>E-108</t>
  </si>
  <si>
    <t>E-109</t>
  </si>
  <si>
    <t>Refrigerant to -150 °C</t>
  </si>
  <si>
    <t>CEPCI 2017</t>
  </si>
  <si>
    <t>Future fossil ammonia price</t>
  </si>
  <si>
    <t>Future wind ammonia price</t>
  </si>
  <si>
    <t>$ per ton</t>
  </si>
  <si>
    <t>Current fossil ammonia price</t>
  </si>
  <si>
    <t>Current wind ammonia price</t>
  </si>
  <si>
    <t>Tangent to tangent height (m)</t>
  </si>
  <si>
    <t>B3</t>
  </si>
  <si>
    <t>B6</t>
  </si>
  <si>
    <t>B9</t>
  </si>
  <si>
    <t>B16</t>
  </si>
  <si>
    <t>B13</t>
  </si>
  <si>
    <t>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</si>
</sst>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zoomScale="115" zoomScaleNormal="115" workbookViewId="0">
      <selection activeCell="K37" sqref="K37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140625" bestFit="1" customWidth="1"/>
    <col min="14" max="14" width="9.140625" customWidth="1"/>
    <col min="15" max="15" width="5.7109375" bestFit="1" customWidth="1"/>
    <col min="16" max="16" width="8.28515625" bestFit="1" customWidth="1"/>
    <col min="17" max="17" width="7.28515625" bestFit="1" customWidth="1"/>
    <col min="18" max="18" width="8" bestFit="1" customWidth="1"/>
    <col min="19" max="19" width="7.85546875" bestFit="1" customWidth="1"/>
    <col min="20" max="20" width="8.285156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38</v>
      </c>
      <c r="C2" s="3">
        <v>0.3</v>
      </c>
    </row>
    <row r="3" spans="1:20" ht="18" x14ac:dyDescent="0.35">
      <c r="A3" s="3" t="s">
        <v>2</v>
      </c>
      <c r="B3" s="3" t="s">
        <v>39</v>
      </c>
      <c r="C3" s="3">
        <v>0.8</v>
      </c>
    </row>
    <row r="4" spans="1:20" ht="18" x14ac:dyDescent="0.35">
      <c r="A4" s="3" t="s">
        <v>3</v>
      </c>
      <c r="B4" s="3" t="s">
        <v>40</v>
      </c>
      <c r="C4" s="3">
        <v>0.3</v>
      </c>
    </row>
    <row r="5" spans="1:20" ht="18" x14ac:dyDescent="0.35">
      <c r="A5" s="3" t="s">
        <v>4</v>
      </c>
      <c r="B5" s="3" t="s">
        <v>41</v>
      </c>
      <c r="C5" s="3">
        <v>0.2</v>
      </c>
    </row>
    <row r="6" spans="1:20" ht="18" x14ac:dyDescent="0.35">
      <c r="A6" s="3" t="s">
        <v>5</v>
      </c>
      <c r="B6" s="3" t="s">
        <v>42</v>
      </c>
      <c r="C6" s="3">
        <v>0.3</v>
      </c>
    </row>
    <row r="7" spans="1:20" ht="18" x14ac:dyDescent="0.35">
      <c r="A7" s="3" t="s">
        <v>6</v>
      </c>
      <c r="B7" s="3" t="s">
        <v>43</v>
      </c>
      <c r="C7" s="3">
        <v>0.2</v>
      </c>
    </row>
    <row r="8" spans="1:20" ht="18" x14ac:dyDescent="0.35">
      <c r="A8" s="3" t="s">
        <v>7</v>
      </c>
      <c r="B8" s="3" t="s">
        <v>44</v>
      </c>
      <c r="C8" s="3">
        <v>0.1</v>
      </c>
    </row>
    <row r="9" spans="1:20" ht="18" x14ac:dyDescent="0.35">
      <c r="A9" s="3" t="s">
        <v>8</v>
      </c>
      <c r="B9" s="3" t="s">
        <v>45</v>
      </c>
      <c r="C9" s="3">
        <v>1.3</v>
      </c>
    </row>
    <row r="10" spans="1:20" x14ac:dyDescent="0.25">
      <c r="A10" s="22"/>
      <c r="B10" s="22"/>
      <c r="C10" s="22"/>
    </row>
    <row r="12" spans="1:20" ht="76.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128</v>
      </c>
      <c r="O12" s="5" t="s">
        <v>17</v>
      </c>
      <c r="P12" s="5" t="s">
        <v>21</v>
      </c>
      <c r="Q12" s="5" t="s">
        <v>46</v>
      </c>
      <c r="R12" s="5" t="s">
        <v>16</v>
      </c>
      <c r="S12" s="5" t="s">
        <v>47</v>
      </c>
      <c r="T12" s="5" t="s">
        <v>18</v>
      </c>
    </row>
    <row r="13" spans="1:20" x14ac:dyDescent="0.25">
      <c r="A13" s="49" t="s">
        <v>109</v>
      </c>
      <c r="B13" s="50"/>
      <c r="C13" s="50"/>
      <c r="D13" s="50"/>
      <c r="E13" s="50"/>
      <c r="F13" s="50"/>
      <c r="G13" s="50"/>
      <c r="H13" s="51"/>
      <c r="L13" s="33" t="s">
        <v>129</v>
      </c>
      <c r="M13" s="34">
        <v>1.6763999999999999</v>
      </c>
      <c r="N13" s="34">
        <v>4.7244000000000002</v>
      </c>
      <c r="O13" s="34">
        <f>N13+2*M13</f>
        <v>8.0771999999999995</v>
      </c>
      <c r="P13" s="37">
        <f t="shared" ref="P13" si="0">M13+0.0254</f>
        <v>1.7018</v>
      </c>
      <c r="Q13" s="37">
        <f t="shared" ref="Q13" si="1">PI()*(P13*P13-M13*M13)/4</f>
        <v>6.7392094719967474E-2</v>
      </c>
      <c r="R13" s="37">
        <f t="shared" ref="R13" si="2">Q13*O13</f>
        <v>0.54433942747212127</v>
      </c>
      <c r="S13" s="35">
        <v>8000</v>
      </c>
      <c r="T13" s="34">
        <f t="shared" ref="T13" si="3">S13*R13</f>
        <v>4354.7154197769705</v>
      </c>
    </row>
    <row r="14" spans="1:20" x14ac:dyDescent="0.25">
      <c r="A14" s="6" t="s">
        <v>112</v>
      </c>
      <c r="B14" s="6" t="s">
        <v>110</v>
      </c>
      <c r="C14" s="6" t="s">
        <v>111</v>
      </c>
      <c r="D14" s="9">
        <v>1646.89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2.2822711984206165</v>
      </c>
      <c r="L14" s="33" t="s">
        <v>130</v>
      </c>
      <c r="M14" s="34">
        <v>1.524</v>
      </c>
      <c r="N14" s="34">
        <v>3.6576</v>
      </c>
      <c r="O14" s="34">
        <f>N14+2*M14</f>
        <v>6.7056000000000004</v>
      </c>
      <c r="P14" s="37">
        <f t="shared" ref="P14:P18" si="5">M14+0.0254</f>
        <v>1.5494000000000001</v>
      </c>
      <c r="Q14" s="37">
        <f t="shared" ref="Q14:Q18" si="6">PI()*(P14*P14-M14*M14)/4</f>
        <v>6.1311604970797184E-2</v>
      </c>
      <c r="R14" s="37">
        <f t="shared" ref="R14:R18" si="7">Q14*O14</f>
        <v>0.41113109829217764</v>
      </c>
      <c r="S14" s="35">
        <v>8000</v>
      </c>
      <c r="T14" s="34">
        <f t="shared" ref="T14:T18" si="8">S14*R14</f>
        <v>3289.048786337421</v>
      </c>
    </row>
    <row r="15" spans="1:20" x14ac:dyDescent="0.25">
      <c r="A15" s="6" t="s">
        <v>113</v>
      </c>
      <c r="B15" s="6" t="s">
        <v>110</v>
      </c>
      <c r="C15" s="6" t="s">
        <v>111</v>
      </c>
      <c r="D15" s="9">
        <v>622.69000000000005</v>
      </c>
      <c r="E15" s="8">
        <v>580000</v>
      </c>
      <c r="F15" s="8">
        <v>20000</v>
      </c>
      <c r="G15" s="9">
        <v>0.6</v>
      </c>
      <c r="H15" s="9">
        <f t="shared" ref="H15:H16" si="9">(E15+(F15*(D15^G15)))/1000000</f>
        <v>1.5297146348912503</v>
      </c>
      <c r="L15" s="33" t="s">
        <v>131</v>
      </c>
      <c r="M15" s="34">
        <v>1.0668</v>
      </c>
      <c r="N15" s="34">
        <v>3.6576</v>
      </c>
      <c r="O15" s="34">
        <f>N15+2*M15</f>
        <v>5.7911999999999999</v>
      </c>
      <c r="P15" s="37">
        <f t="shared" si="5"/>
        <v>1.0922000000000001</v>
      </c>
      <c r="Q15" s="37">
        <f t="shared" si="6"/>
        <v>4.3070135723287363E-2</v>
      </c>
      <c r="R15" s="37">
        <f t="shared" si="7"/>
        <v>0.24942777000070177</v>
      </c>
      <c r="S15" s="35">
        <v>8000</v>
      </c>
      <c r="T15" s="34">
        <f t="shared" si="8"/>
        <v>1995.4221600056142</v>
      </c>
    </row>
    <row r="16" spans="1:20" x14ac:dyDescent="0.25">
      <c r="A16" s="6" t="s">
        <v>112</v>
      </c>
      <c r="B16" s="6" t="s">
        <v>110</v>
      </c>
      <c r="C16" s="6" t="s">
        <v>111</v>
      </c>
      <c r="D16" s="9">
        <v>347.80399999999997</v>
      </c>
      <c r="E16" s="8">
        <v>580000</v>
      </c>
      <c r="F16" s="8">
        <v>20000</v>
      </c>
      <c r="G16" s="9">
        <v>0.6</v>
      </c>
      <c r="H16" s="9">
        <f t="shared" si="9"/>
        <v>1.2496235810546337</v>
      </c>
      <c r="L16" s="33" t="s">
        <v>132</v>
      </c>
      <c r="M16" s="34">
        <v>0.91439999999999999</v>
      </c>
      <c r="N16" s="34">
        <v>3.6576</v>
      </c>
      <c r="O16" s="34">
        <f>N16+2*M16</f>
        <v>5.4863999999999997</v>
      </c>
      <c r="P16" s="37">
        <f t="shared" si="5"/>
        <v>0.93979999999999997</v>
      </c>
      <c r="Q16" s="37">
        <f t="shared" si="6"/>
        <v>3.6989645974117337E-2</v>
      </c>
      <c r="R16" s="37">
        <f t="shared" si="7"/>
        <v>0.20293999367239735</v>
      </c>
      <c r="S16" s="35">
        <v>8000</v>
      </c>
      <c r="T16" s="34">
        <f t="shared" si="8"/>
        <v>1623.5199493791788</v>
      </c>
    </row>
    <row r="17" spans="1:20" x14ac:dyDescent="0.25">
      <c r="A17" s="6" t="s">
        <v>113</v>
      </c>
      <c r="B17" s="6" t="s">
        <v>110</v>
      </c>
      <c r="C17" s="6" t="s">
        <v>111</v>
      </c>
      <c r="D17" s="9">
        <v>131.27799999999999</v>
      </c>
      <c r="E17" s="8">
        <v>580000</v>
      </c>
      <c r="F17" s="8">
        <v>20000</v>
      </c>
      <c r="G17" s="9">
        <v>0.6</v>
      </c>
      <c r="H17" s="9">
        <f t="shared" ref="H17:H19" si="10">(E17+(F17*(D17^G17)))/1000000</f>
        <v>0.95320303480474555</v>
      </c>
      <c r="L17" s="33" t="s">
        <v>133</v>
      </c>
      <c r="M17" s="34">
        <v>0.91439999999999999</v>
      </c>
      <c r="N17" s="34">
        <v>3.6576</v>
      </c>
      <c r="O17" s="34">
        <f>N17+2*M17</f>
        <v>5.4863999999999997</v>
      </c>
      <c r="P17" s="37">
        <f t="shared" si="5"/>
        <v>0.93979999999999997</v>
      </c>
      <c r="Q17" s="37">
        <f t="shared" si="6"/>
        <v>3.6989645974117337E-2</v>
      </c>
      <c r="R17" s="37">
        <f t="shared" si="7"/>
        <v>0.20293999367239735</v>
      </c>
      <c r="S17" s="35">
        <v>8000</v>
      </c>
      <c r="T17" s="34">
        <f t="shared" si="8"/>
        <v>1623.5199493791788</v>
      </c>
    </row>
    <row r="18" spans="1:20" x14ac:dyDescent="0.25">
      <c r="A18" s="6" t="s">
        <v>112</v>
      </c>
      <c r="B18" s="6" t="s">
        <v>110</v>
      </c>
      <c r="C18" s="6" t="s">
        <v>111</v>
      </c>
      <c r="D18" s="9">
        <v>278.505</v>
      </c>
      <c r="E18" s="8">
        <v>580000</v>
      </c>
      <c r="F18" s="8">
        <v>20000</v>
      </c>
      <c r="G18" s="9">
        <v>0.6</v>
      </c>
      <c r="H18" s="9">
        <f t="shared" si="10"/>
        <v>1.1660434192236717</v>
      </c>
      <c r="L18" s="33" t="s">
        <v>134</v>
      </c>
      <c r="M18" s="34">
        <v>0.91439999999999999</v>
      </c>
      <c r="N18" s="34">
        <v>3.6576</v>
      </c>
      <c r="O18" s="34">
        <f>N18+2*M18</f>
        <v>5.4863999999999997</v>
      </c>
      <c r="P18" s="37">
        <f t="shared" si="5"/>
        <v>0.93979999999999997</v>
      </c>
      <c r="Q18" s="37">
        <f t="shared" si="6"/>
        <v>3.6989645974117337E-2</v>
      </c>
      <c r="R18" s="37">
        <f t="shared" si="7"/>
        <v>0.20293999367239735</v>
      </c>
      <c r="S18" s="35">
        <v>8000</v>
      </c>
      <c r="T18" s="34">
        <f t="shared" si="8"/>
        <v>1623.5199493791788</v>
      </c>
    </row>
    <row r="19" spans="1:20" x14ac:dyDescent="0.25">
      <c r="A19" s="6" t="s">
        <v>113</v>
      </c>
      <c r="B19" s="6" t="s">
        <v>110</v>
      </c>
      <c r="C19" s="6" t="s">
        <v>111</v>
      </c>
      <c r="D19" s="9">
        <v>106.215</v>
      </c>
      <c r="E19" s="8">
        <v>580000</v>
      </c>
      <c r="F19" s="8">
        <v>20000</v>
      </c>
      <c r="G19" s="9">
        <v>0.6</v>
      </c>
      <c r="H19" s="9">
        <f t="shared" si="10"/>
        <v>0.90865595647618147</v>
      </c>
      <c r="L19" s="33" t="s">
        <v>88</v>
      </c>
      <c r="M19" s="34">
        <f>M13</f>
        <v>1.6763999999999999</v>
      </c>
      <c r="N19" s="34">
        <f>N13</f>
        <v>4.7244000000000002</v>
      </c>
      <c r="O19" s="34">
        <f>O13</f>
        <v>8.0771999999999995</v>
      </c>
      <c r="P19" s="37">
        <f>M19+0.0254</f>
        <v>1.7018</v>
      </c>
      <c r="Q19" s="37">
        <f>PI()*(P19*P19-M19*M19)/4</f>
        <v>6.7392094719967474E-2</v>
      </c>
      <c r="R19" s="37">
        <f t="shared" ref="R19" si="11">Q19*O19</f>
        <v>0.54433942747212127</v>
      </c>
      <c r="S19" s="35">
        <v>8000</v>
      </c>
      <c r="T19" s="34">
        <f t="shared" ref="T19" si="12">S19*R19</f>
        <v>4354.7154197769705</v>
      </c>
    </row>
    <row r="20" spans="1:20" x14ac:dyDescent="0.25">
      <c r="A20" s="49" t="s">
        <v>86</v>
      </c>
      <c r="B20" s="50"/>
      <c r="C20" s="50"/>
      <c r="D20" s="50"/>
      <c r="E20" s="50"/>
      <c r="F20" s="50"/>
      <c r="G20" s="50"/>
      <c r="H20" s="51"/>
    </row>
    <row r="21" spans="1:20" x14ac:dyDescent="0.25">
      <c r="A21" s="6" t="s">
        <v>114</v>
      </c>
      <c r="B21" s="6" t="s">
        <v>48</v>
      </c>
      <c r="C21" s="6" t="s">
        <v>49</v>
      </c>
      <c r="D21" s="21">
        <f>I21/J21</f>
        <v>187.1149651143925</v>
      </c>
      <c r="E21" s="8">
        <v>28000</v>
      </c>
      <c r="F21" s="8">
        <v>54</v>
      </c>
      <c r="G21" s="9">
        <v>1.2</v>
      </c>
      <c r="H21" s="9">
        <f>(E21+(F21*(D21^G21)))/1000000*J21</f>
        <v>0.11353789681386313</v>
      </c>
      <c r="I21" s="45">
        <v>374.22993022878501</v>
      </c>
      <c r="J21" s="46">
        <v>2</v>
      </c>
    </row>
    <row r="22" spans="1:20" x14ac:dyDescent="0.25">
      <c r="A22" s="6" t="s">
        <v>115</v>
      </c>
      <c r="B22" s="6" t="s">
        <v>48</v>
      </c>
      <c r="C22" s="6" t="s">
        <v>49</v>
      </c>
      <c r="D22" s="21">
        <f t="shared" ref="D22:D27" si="13">I22/J22</f>
        <v>50.750708854110997</v>
      </c>
      <c r="E22" s="8">
        <v>28000</v>
      </c>
      <c r="F22" s="8">
        <v>54</v>
      </c>
      <c r="G22" s="9">
        <v>1.2</v>
      </c>
      <c r="H22" s="9">
        <f t="shared" ref="H22:H27" si="14">(E22+(F22*(D22^G22)))/1000000*J22</f>
        <v>6.8021379031610971E-2</v>
      </c>
      <c r="I22" s="45">
        <v>101.50141770822199</v>
      </c>
      <c r="J22" s="46">
        <v>2</v>
      </c>
    </row>
    <row r="23" spans="1:20" x14ac:dyDescent="0.25">
      <c r="A23" s="6" t="s">
        <v>116</v>
      </c>
      <c r="B23" s="6" t="s">
        <v>48</v>
      </c>
      <c r="C23" s="6" t="s">
        <v>49</v>
      </c>
      <c r="D23" s="21">
        <f t="shared" si="13"/>
        <v>69.204225818795507</v>
      </c>
      <c r="E23" s="8">
        <v>28000</v>
      </c>
      <c r="F23" s="8">
        <v>54</v>
      </c>
      <c r="G23" s="9">
        <v>1.2</v>
      </c>
      <c r="H23" s="9">
        <f t="shared" si="14"/>
        <v>7.3441462277410857E-2</v>
      </c>
      <c r="I23" s="45">
        <v>138.40845163759101</v>
      </c>
      <c r="J23" s="46">
        <v>2</v>
      </c>
    </row>
    <row r="24" spans="1:20" x14ac:dyDescent="0.25">
      <c r="A24" s="6" t="s">
        <v>117</v>
      </c>
      <c r="B24" s="6" t="s">
        <v>48</v>
      </c>
      <c r="C24" s="6" t="s">
        <v>49</v>
      </c>
      <c r="D24" s="21">
        <f t="shared" si="13"/>
        <v>491.71859036077865</v>
      </c>
      <c r="E24" s="8">
        <v>28000</v>
      </c>
      <c r="F24" s="8">
        <v>54</v>
      </c>
      <c r="G24" s="9">
        <v>1.2</v>
      </c>
      <c r="H24" s="9">
        <f t="shared" si="14"/>
        <v>1.7957672674166627</v>
      </c>
      <c r="I24" s="45">
        <v>7375.7788554116796</v>
      </c>
      <c r="J24" s="46">
        <v>15</v>
      </c>
    </row>
    <row r="25" spans="1:20" x14ac:dyDescent="0.25">
      <c r="A25" s="6" t="s">
        <v>118</v>
      </c>
      <c r="B25" s="6" t="s">
        <v>48</v>
      </c>
      <c r="C25" s="6" t="s">
        <v>49</v>
      </c>
      <c r="D25" s="21">
        <f t="shared" si="13"/>
        <v>485.43254993932874</v>
      </c>
      <c r="E25" s="8">
        <v>28000</v>
      </c>
      <c r="F25" s="8">
        <v>54</v>
      </c>
      <c r="G25" s="9">
        <v>1.2</v>
      </c>
      <c r="H25" s="9">
        <f t="shared" si="14"/>
        <v>0.94650094509864269</v>
      </c>
      <c r="I25" s="45">
        <v>3883.4603995146299</v>
      </c>
      <c r="J25" s="46">
        <v>8</v>
      </c>
    </row>
    <row r="26" spans="1:20" x14ac:dyDescent="0.25">
      <c r="A26" s="6" t="s">
        <v>119</v>
      </c>
      <c r="B26" s="6" t="s">
        <v>48</v>
      </c>
      <c r="C26" s="6" t="s">
        <v>49</v>
      </c>
      <c r="D26" s="21">
        <f t="shared" si="13"/>
        <v>34.730654800663899</v>
      </c>
      <c r="E26" s="8">
        <v>28000</v>
      </c>
      <c r="F26" s="8">
        <v>54</v>
      </c>
      <c r="G26" s="9">
        <v>1.2</v>
      </c>
      <c r="H26" s="9">
        <f t="shared" si="14"/>
        <v>6.3625693070685566E-2</v>
      </c>
      <c r="I26" s="45">
        <v>69.461309601327798</v>
      </c>
      <c r="J26" s="46">
        <v>2</v>
      </c>
    </row>
    <row r="27" spans="1:20" x14ac:dyDescent="0.25">
      <c r="A27" s="6" t="s">
        <v>120</v>
      </c>
      <c r="B27" s="6" t="s">
        <v>48</v>
      </c>
      <c r="C27" s="6" t="s">
        <v>49</v>
      </c>
      <c r="D27" s="21">
        <f t="shared" si="13"/>
        <v>366.91706013791952</v>
      </c>
      <c r="E27" s="8">
        <v>28000</v>
      </c>
      <c r="F27" s="8">
        <v>54</v>
      </c>
      <c r="G27" s="9">
        <v>1.2</v>
      </c>
      <c r="H27" s="9">
        <f t="shared" si="14"/>
        <v>0.18509375742965054</v>
      </c>
      <c r="I27" s="45">
        <v>733.83412027583904</v>
      </c>
      <c r="J27" s="46">
        <v>2</v>
      </c>
    </row>
    <row r="28" spans="1:20" x14ac:dyDescent="0.25">
      <c r="A28" s="52" t="s">
        <v>50</v>
      </c>
      <c r="B28" s="53"/>
      <c r="C28" s="53"/>
      <c r="D28" s="53"/>
      <c r="E28" s="53"/>
      <c r="F28" s="53"/>
      <c r="G28" s="53"/>
      <c r="H28" s="54"/>
    </row>
    <row r="29" spans="1:20" x14ac:dyDescent="0.25">
      <c r="A29" s="7" t="s">
        <v>88</v>
      </c>
      <c r="B29" s="6" t="s">
        <v>87</v>
      </c>
      <c r="C29" s="6" t="s">
        <v>51</v>
      </c>
      <c r="D29" s="9">
        <f>T19</f>
        <v>4354.7154197769705</v>
      </c>
      <c r="E29" s="8">
        <v>17400</v>
      </c>
      <c r="F29" s="8">
        <v>79</v>
      </c>
      <c r="G29" s="9">
        <v>0.85</v>
      </c>
      <c r="H29" s="9">
        <f>(E29+(F29*(D29^G29)))/1000000</f>
        <v>0.11529103122802353</v>
      </c>
    </row>
    <row r="30" spans="1:20" x14ac:dyDescent="0.25">
      <c r="A30" s="49" t="s">
        <v>89</v>
      </c>
      <c r="B30" s="50"/>
      <c r="C30" s="50"/>
      <c r="D30" s="50"/>
      <c r="E30" s="50"/>
      <c r="F30" s="50"/>
      <c r="G30" s="50"/>
      <c r="H30" s="51"/>
    </row>
    <row r="31" spans="1:20" x14ac:dyDescent="0.25">
      <c r="A31" s="6" t="s">
        <v>129</v>
      </c>
      <c r="B31" s="6" t="s">
        <v>87</v>
      </c>
      <c r="C31" s="6" t="s">
        <v>51</v>
      </c>
      <c r="D31" s="9">
        <f>T13</f>
        <v>4354.7154197769705</v>
      </c>
      <c r="E31" s="8">
        <v>17400</v>
      </c>
      <c r="F31" s="8">
        <v>79</v>
      </c>
      <c r="G31" s="9">
        <v>0.85</v>
      </c>
      <c r="H31" s="9">
        <f>(E31+(F31*(D31^G31)))/1000000</f>
        <v>0.11529103122802353</v>
      </c>
    </row>
    <row r="32" spans="1:20" x14ac:dyDescent="0.25">
      <c r="A32" s="6" t="s">
        <v>130</v>
      </c>
      <c r="B32" s="6" t="s">
        <v>87</v>
      </c>
      <c r="C32" s="6" t="s">
        <v>51</v>
      </c>
      <c r="D32" s="9">
        <f>T14</f>
        <v>3289.048786337421</v>
      </c>
      <c r="E32" s="8">
        <v>17400</v>
      </c>
      <c r="F32" s="8">
        <v>79</v>
      </c>
      <c r="G32" s="9">
        <v>0.85</v>
      </c>
      <c r="H32" s="9">
        <f t="shared" ref="H32:H35" si="15">(E32+(F32*(D32^G32)))/1000000</f>
        <v>9.4514644244777388E-2</v>
      </c>
    </row>
    <row r="33" spans="1:8" x14ac:dyDescent="0.25">
      <c r="A33" s="6" t="s">
        <v>131</v>
      </c>
      <c r="B33" s="6" t="s">
        <v>87</v>
      </c>
      <c r="C33" s="6" t="s">
        <v>51</v>
      </c>
      <c r="D33" s="9">
        <f>T15</f>
        <v>1995.4221600056142</v>
      </c>
      <c r="E33" s="8">
        <v>17400</v>
      </c>
      <c r="F33" s="8">
        <v>79</v>
      </c>
      <c r="G33" s="9">
        <v>0.85</v>
      </c>
      <c r="H33" s="9">
        <f t="shared" si="15"/>
        <v>6.7826248952628607E-2</v>
      </c>
    </row>
    <row r="34" spans="1:8" x14ac:dyDescent="0.25">
      <c r="A34" s="6" t="s">
        <v>132</v>
      </c>
      <c r="B34" s="6" t="s">
        <v>87</v>
      </c>
      <c r="C34" s="6" t="s">
        <v>51</v>
      </c>
      <c r="D34" s="9">
        <f>T16</f>
        <v>1623.5199493791788</v>
      </c>
      <c r="E34" s="8">
        <v>17400</v>
      </c>
      <c r="F34" s="8">
        <v>79</v>
      </c>
      <c r="G34" s="9">
        <v>0.85</v>
      </c>
      <c r="H34" s="9">
        <f t="shared" si="15"/>
        <v>5.9717117402957716E-2</v>
      </c>
    </row>
    <row r="35" spans="1:8" x14ac:dyDescent="0.25">
      <c r="A35" s="6" t="s">
        <v>133</v>
      </c>
      <c r="B35" s="6" t="s">
        <v>87</v>
      </c>
      <c r="C35" s="6" t="s">
        <v>51</v>
      </c>
      <c r="D35" s="9">
        <f>T17</f>
        <v>1623.5199493791788</v>
      </c>
      <c r="E35" s="8">
        <v>17400</v>
      </c>
      <c r="F35" s="8">
        <v>79</v>
      </c>
      <c r="G35" s="9">
        <v>0.85</v>
      </c>
      <c r="H35" s="9">
        <f t="shared" si="15"/>
        <v>5.9717117402957716E-2</v>
      </c>
    </row>
    <row r="36" spans="1:8" x14ac:dyDescent="0.25">
      <c r="A36" s="6" t="s">
        <v>134</v>
      </c>
      <c r="B36" s="6" t="s">
        <v>87</v>
      </c>
      <c r="C36" s="6" t="s">
        <v>51</v>
      </c>
      <c r="D36" s="9">
        <f>T18</f>
        <v>1623.5199493791788</v>
      </c>
      <c r="E36" s="8">
        <v>17400</v>
      </c>
      <c r="F36" s="8">
        <v>79</v>
      </c>
      <c r="G36" s="9">
        <v>0.85</v>
      </c>
      <c r="H36" s="9">
        <f t="shared" ref="H36" si="16">(E36+(F36*(D36^G36)))/1000000</f>
        <v>5.9717117402957716E-2</v>
      </c>
    </row>
    <row r="37" spans="1:8" x14ac:dyDescent="0.25">
      <c r="H37" s="38">
        <f>SUM(H14:H36)</f>
        <v>11.907574533871951</v>
      </c>
    </row>
    <row r="38" spans="1:8" x14ac:dyDescent="0.25">
      <c r="A38" s="24" t="s">
        <v>34</v>
      </c>
      <c r="B38" s="21">
        <v>532.9</v>
      </c>
    </row>
    <row r="39" spans="1:8" x14ac:dyDescent="0.25">
      <c r="A39" s="24" t="s">
        <v>35</v>
      </c>
      <c r="B39" s="21">
        <v>607.5</v>
      </c>
    </row>
    <row r="40" spans="1:8" x14ac:dyDescent="0.25">
      <c r="A40" s="24" t="s">
        <v>90</v>
      </c>
      <c r="B40" s="21">
        <v>816</v>
      </c>
    </row>
    <row r="41" spans="1:8" x14ac:dyDescent="0.25">
      <c r="A41" s="24" t="s">
        <v>52</v>
      </c>
      <c r="B41" s="21">
        <f>H37*B39/B38</f>
        <v>13.574500899469339</v>
      </c>
    </row>
    <row r="42" spans="1:8" x14ac:dyDescent="0.25">
      <c r="A42" s="24" t="s">
        <v>91</v>
      </c>
      <c r="B42" s="21">
        <f>H37*B40/B38</f>
        <v>18.233403677311902</v>
      </c>
    </row>
    <row r="43" spans="1:8" x14ac:dyDescent="0.25">
      <c r="A43" s="39"/>
      <c r="B43" s="32"/>
    </row>
    <row r="44" spans="1:8" x14ac:dyDescent="0.25">
      <c r="B44" s="36">
        <v>2022</v>
      </c>
      <c r="C44" s="31"/>
      <c r="D44"/>
    </row>
    <row r="45" spans="1:8" x14ac:dyDescent="0.25">
      <c r="A45" s="26" t="s">
        <v>53</v>
      </c>
      <c r="B45" s="40">
        <f>(B42)*((1+C3)+(C2+C5+C4+C6+C7+C8)/C9)*C9</f>
        <v>68.192929753146529</v>
      </c>
      <c r="C45" s="31"/>
      <c r="D45"/>
    </row>
    <row r="46" spans="1:8" x14ac:dyDescent="0.25">
      <c r="A46" s="26" t="s">
        <v>54</v>
      </c>
      <c r="B46" s="40">
        <f>0.3*B45</f>
        <v>20.457878925943959</v>
      </c>
      <c r="C46" s="31"/>
      <c r="D46"/>
    </row>
    <row r="47" spans="1:8" x14ac:dyDescent="0.25">
      <c r="A47" s="26" t="s">
        <v>55</v>
      </c>
      <c r="B47" s="40">
        <f>0.3*SUM(B45:B46)</f>
        <v>26.595242603727147</v>
      </c>
      <c r="D47"/>
    </row>
    <row r="48" spans="1:8" x14ac:dyDescent="0.25">
      <c r="A48" s="26" t="s">
        <v>56</v>
      </c>
      <c r="B48" s="40">
        <f>0.1*SUM(B45:B46)</f>
        <v>8.8650808679090485</v>
      </c>
      <c r="D48"/>
    </row>
    <row r="49" spans="1:15" x14ac:dyDescent="0.25">
      <c r="A49" s="26" t="s">
        <v>57</v>
      </c>
      <c r="B49" s="40">
        <f>B45*(1+0.3)*(1+0.3+0.1)</f>
        <v>124.11113215072669</v>
      </c>
      <c r="D49"/>
    </row>
    <row r="50" spans="1:15" x14ac:dyDescent="0.25">
      <c r="A50" s="26" t="s">
        <v>60</v>
      </c>
      <c r="B50" s="40">
        <f>B49*0.15</f>
        <v>18.616669822609001</v>
      </c>
      <c r="D50"/>
    </row>
    <row r="51" spans="1:15" x14ac:dyDescent="0.25">
      <c r="A51" s="26" t="s">
        <v>58</v>
      </c>
      <c r="B51" s="40">
        <f>B49+B50</f>
        <v>142.72780197333569</v>
      </c>
      <c r="D51"/>
      <c r="O51" s="43"/>
    </row>
    <row r="52" spans="1:15" x14ac:dyDescent="0.25">
      <c r="A52" s="26" t="s">
        <v>26</v>
      </c>
      <c r="B52" s="40">
        <v>25</v>
      </c>
      <c r="C52" s="31"/>
      <c r="D52"/>
    </row>
    <row r="53" spans="1:15" x14ac:dyDescent="0.25">
      <c r="A53" s="26" t="s">
        <v>27</v>
      </c>
      <c r="B53" s="40">
        <v>0.12</v>
      </c>
      <c r="C53" s="31"/>
      <c r="D53"/>
    </row>
    <row r="54" spans="1:15" x14ac:dyDescent="0.25">
      <c r="A54" s="26" t="s">
        <v>28</v>
      </c>
      <c r="B54" s="40">
        <f>(B53*((1+B53)^B52))/(((1+B53)^B52)-1)</f>
        <v>0.12749996980950773</v>
      </c>
      <c r="C54" s="31"/>
      <c r="D54"/>
    </row>
    <row r="55" spans="1:15" x14ac:dyDescent="0.25">
      <c r="A55" s="26" t="s">
        <v>59</v>
      </c>
      <c r="B55" s="40">
        <f>B54*B51</f>
        <v>18.197790442577698</v>
      </c>
      <c r="C55" s="31"/>
      <c r="D55"/>
    </row>
    <row r="56" spans="1:15" x14ac:dyDescent="0.25">
      <c r="A56" s="25" t="s">
        <v>36</v>
      </c>
      <c r="B56" s="19">
        <f>B55</f>
        <v>18.197790442577698</v>
      </c>
      <c r="C56" s="31"/>
      <c r="D56"/>
    </row>
    <row r="97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</sheetData>
  <mergeCells count="4">
    <mergeCell ref="A20:H20"/>
    <mergeCell ref="A28:H28"/>
    <mergeCell ref="A30:H30"/>
    <mergeCell ref="A13:H13"/>
  </mergeCells>
  <conditionalFormatting sqref="I21:I27">
    <cfRule type="cellIs" dxfId="0" priority="3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B25" sqref="B25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5">
        <v>2022</v>
      </c>
      <c r="B3" s="55"/>
      <c r="C3" s="55"/>
    </row>
    <row r="4" spans="1:3" x14ac:dyDescent="0.25">
      <c r="A4" s="36" t="s">
        <v>63</v>
      </c>
      <c r="B4" s="36" t="s">
        <v>64</v>
      </c>
      <c r="C4" s="13" t="s">
        <v>37</v>
      </c>
    </row>
    <row r="5" spans="1:3" x14ac:dyDescent="0.25">
      <c r="A5" s="55" t="s">
        <v>79</v>
      </c>
      <c r="B5" s="55"/>
      <c r="C5" s="55"/>
    </row>
    <row r="6" spans="1:3" x14ac:dyDescent="0.25">
      <c r="A6" s="10" t="s">
        <v>71</v>
      </c>
      <c r="B6" s="10" t="s">
        <v>82</v>
      </c>
      <c r="C6" s="10">
        <f>50000*9*9/1000000</f>
        <v>4.05</v>
      </c>
    </row>
    <row r="7" spans="1:3" x14ac:dyDescent="0.25">
      <c r="A7" s="10" t="s">
        <v>61</v>
      </c>
      <c r="B7" s="10" t="s">
        <v>62</v>
      </c>
      <c r="C7" s="21">
        <f>0.25*C6</f>
        <v>1.0125</v>
      </c>
    </row>
    <row r="8" spans="1:3" x14ac:dyDescent="0.25">
      <c r="A8" s="10" t="s">
        <v>65</v>
      </c>
      <c r="B8" s="10" t="s">
        <v>66</v>
      </c>
      <c r="C8" s="21">
        <f>0.45*(C6+C7)</f>
        <v>2.2781250000000002</v>
      </c>
    </row>
    <row r="9" spans="1:3" x14ac:dyDescent="0.25">
      <c r="A9" s="49"/>
      <c r="B9" s="51"/>
      <c r="C9" s="17">
        <f>SUM(C6:C8)</f>
        <v>7.3406250000000002</v>
      </c>
    </row>
    <row r="10" spans="1:3" x14ac:dyDescent="0.25">
      <c r="A10" s="55" t="s">
        <v>80</v>
      </c>
      <c r="B10" s="55"/>
      <c r="C10" s="55"/>
    </row>
    <row r="11" spans="1:3" x14ac:dyDescent="0.25">
      <c r="A11" s="10" t="s">
        <v>67</v>
      </c>
      <c r="B11" s="10" t="s">
        <v>68</v>
      </c>
      <c r="C11" s="23">
        <f>0.03*CAPEX!B45</f>
        <v>2.045787892594396</v>
      </c>
    </row>
    <row r="12" spans="1:3" x14ac:dyDescent="0.25">
      <c r="A12" s="55"/>
      <c r="B12" s="55"/>
      <c r="C12" s="29">
        <f>C11</f>
        <v>2.045787892594396</v>
      </c>
    </row>
    <row r="13" spans="1:3" x14ac:dyDescent="0.25">
      <c r="A13" s="49" t="s">
        <v>69</v>
      </c>
      <c r="B13" s="50"/>
      <c r="C13" s="51"/>
    </row>
    <row r="14" spans="1:3" x14ac:dyDescent="0.25">
      <c r="A14" s="10" t="s">
        <v>70</v>
      </c>
      <c r="B14" s="10" t="s">
        <v>72</v>
      </c>
      <c r="C14" s="21">
        <f>0.65*(C6+C7+C8+C11)</f>
        <v>6.1011683801863583</v>
      </c>
    </row>
    <row r="15" spans="1:3" x14ac:dyDescent="0.25">
      <c r="A15" s="10" t="s">
        <v>73</v>
      </c>
      <c r="B15" s="10" t="s">
        <v>75</v>
      </c>
      <c r="C15" s="21">
        <f>0.02*(CAPEX!B45+CAPEX!B46)</f>
        <v>1.7730161735818097</v>
      </c>
    </row>
    <row r="16" spans="1:3" x14ac:dyDescent="0.25">
      <c r="A16" s="55"/>
      <c r="B16" s="55"/>
      <c r="C16" s="29">
        <f>SUM(C14:C15)</f>
        <v>7.8741845537681678</v>
      </c>
    </row>
    <row r="17" spans="1:3" x14ac:dyDescent="0.25">
      <c r="A17" s="49" t="s">
        <v>76</v>
      </c>
      <c r="B17" s="50"/>
      <c r="C17" s="51"/>
    </row>
    <row r="18" spans="1:3" x14ac:dyDescent="0.25">
      <c r="A18" s="10" t="s">
        <v>77</v>
      </c>
      <c r="B18" s="10" t="s">
        <v>78</v>
      </c>
      <c r="C18" s="23">
        <f>0.06*CAPEX!B50</f>
        <v>1.11700018935654</v>
      </c>
    </row>
    <row r="19" spans="1:3" x14ac:dyDescent="0.25">
      <c r="A19" s="55"/>
      <c r="B19" s="55"/>
      <c r="C19" s="17">
        <f>C18</f>
        <v>1.11700018935654</v>
      </c>
    </row>
    <row r="20" spans="1:3" x14ac:dyDescent="0.25">
      <c r="A20" s="49" t="s">
        <v>81</v>
      </c>
      <c r="B20" s="51"/>
      <c r="C20" s="17">
        <f>C9+C12+C16+C19</f>
        <v>18.377597635719102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5"/>
  <sheetViews>
    <sheetView zoomScale="145" zoomScaleNormal="145" workbookViewId="0">
      <selection activeCell="E7" sqref="E7"/>
    </sheetView>
  </sheetViews>
  <sheetFormatPr defaultColWidth="8.85546875" defaultRowHeight="15" x14ac:dyDescent="0.25"/>
  <cols>
    <col min="1" max="1" width="8.85546875" style="11"/>
    <col min="2" max="2" width="21.42578125" style="11" bestFit="1" customWidth="1"/>
    <col min="3" max="3" width="8.5703125" style="11" bestFit="1" customWidth="1"/>
    <col min="4" max="4" width="8.7109375" style="11" bestFit="1" customWidth="1"/>
    <col min="5" max="5" width="17.42578125" style="11" bestFit="1" customWidth="1"/>
    <col min="6" max="6" width="10" style="11" bestFit="1" customWidth="1"/>
    <col min="7" max="16384" width="8.85546875" style="11"/>
  </cols>
  <sheetData>
    <row r="2" spans="2:8" x14ac:dyDescent="0.25">
      <c r="B2" s="1"/>
    </row>
    <row r="3" spans="2:8" x14ac:dyDescent="0.25">
      <c r="B3" s="13" t="s">
        <v>23</v>
      </c>
      <c r="C3" s="13" t="s">
        <v>29</v>
      </c>
      <c r="D3" s="13" t="s">
        <v>30</v>
      </c>
      <c r="E3" s="13" t="s">
        <v>104</v>
      </c>
      <c r="F3" s="13" t="s">
        <v>100</v>
      </c>
    </row>
    <row r="4" spans="2:8" x14ac:dyDescent="0.25">
      <c r="B4" s="49" t="s">
        <v>101</v>
      </c>
      <c r="C4" s="50"/>
      <c r="D4" s="50"/>
      <c r="E4" s="50"/>
      <c r="F4" s="50"/>
    </row>
    <row r="5" spans="2:8" x14ac:dyDescent="0.25">
      <c r="B5" s="12" t="s">
        <v>98</v>
      </c>
      <c r="C5" s="12" t="s">
        <v>31</v>
      </c>
      <c r="D5" s="23">
        <v>0</v>
      </c>
      <c r="E5" s="42">
        <v>0</v>
      </c>
      <c r="F5" s="42">
        <f>D5*E5</f>
        <v>0</v>
      </c>
    </row>
    <row r="6" spans="2:8" x14ac:dyDescent="0.25">
      <c r="B6" s="12" t="s">
        <v>99</v>
      </c>
      <c r="C6" s="12" t="s">
        <v>31</v>
      </c>
      <c r="D6" s="27">
        <f>34355.2721899618/1000</f>
        <v>34.355272189961795</v>
      </c>
      <c r="E6" s="42">
        <v>650.66170868347365</v>
      </c>
      <c r="F6" s="42">
        <f>D6*E6</f>
        <v>22353.660105406365</v>
      </c>
      <c r="G6" s="11">
        <f>F6/Summary!$C$23</f>
        <v>0.59609760288761371</v>
      </c>
    </row>
    <row r="7" spans="2:8" x14ac:dyDescent="0.25">
      <c r="B7" s="41" t="s">
        <v>102</v>
      </c>
      <c r="C7" s="12" t="s">
        <v>31</v>
      </c>
      <c r="D7" s="27">
        <f>D6</f>
        <v>34.355272189961795</v>
      </c>
      <c r="E7" s="42">
        <v>925.28408737229393</v>
      </c>
      <c r="F7" s="42">
        <f>D7*E7</f>
        <v>31788.386674715548</v>
      </c>
      <c r="G7" s="11">
        <f>F7/Summary!$C$23</f>
        <v>0.84769031143493045</v>
      </c>
    </row>
    <row r="8" spans="2:8" x14ac:dyDescent="0.25">
      <c r="B8" s="49" t="s">
        <v>103</v>
      </c>
      <c r="C8" s="50"/>
      <c r="D8" s="50"/>
      <c r="E8" s="50"/>
      <c r="F8" s="50"/>
    </row>
    <row r="9" spans="2:8" x14ac:dyDescent="0.25">
      <c r="B9" s="14" t="s">
        <v>24</v>
      </c>
      <c r="C9" s="14" t="s">
        <v>32</v>
      </c>
      <c r="D9" s="9">
        <v>193.20834895405201</v>
      </c>
      <c r="E9" s="47">
        <f>0.38*C19/C18</f>
        <v>0.51041975308641974</v>
      </c>
      <c r="F9" s="42">
        <f>D9*E9</f>
        <v>98.617357767362051</v>
      </c>
      <c r="G9" s="11">
        <f>F9/Summary!$C$23</f>
        <v>2.6297962074683726E-3</v>
      </c>
    </row>
    <row r="10" spans="2:8" x14ac:dyDescent="0.25">
      <c r="B10" s="10" t="s">
        <v>121</v>
      </c>
      <c r="C10" s="10" t="s">
        <v>32</v>
      </c>
      <c r="D10" s="9">
        <v>0</v>
      </c>
      <c r="E10" s="47">
        <f>135*C19/C16</f>
        <v>194.11453744493392</v>
      </c>
      <c r="F10" s="42">
        <f>D10*E10</f>
        <v>0</v>
      </c>
      <c r="G10" s="11">
        <f>F10/Summary!$C$23</f>
        <v>0</v>
      </c>
      <c r="H10" s="11">
        <f>SUM(G9:G10)</f>
        <v>2.6297962074683726E-3</v>
      </c>
    </row>
    <row r="11" spans="2:8" x14ac:dyDescent="0.25">
      <c r="B11" s="14" t="s">
        <v>25</v>
      </c>
      <c r="C11" s="14" t="s">
        <v>33</v>
      </c>
      <c r="D11" s="31">
        <v>3133.3820000000001</v>
      </c>
      <c r="E11" s="47">
        <f>69.6*C19/C18/1000</f>
        <v>9.3487407407407408E-2</v>
      </c>
      <c r="F11" s="42">
        <f>D11*E11</f>
        <v>292.93175959703706</v>
      </c>
      <c r="G11" s="11">
        <f>F11/Summary!$C$23</f>
        <v>7.8115135902604447E-3</v>
      </c>
    </row>
    <row r="12" spans="2:8" x14ac:dyDescent="0.25">
      <c r="B12" s="4" t="s">
        <v>105</v>
      </c>
      <c r="C12" s="18" t="s">
        <v>37</v>
      </c>
      <c r="D12" s="16"/>
      <c r="E12" s="19"/>
      <c r="F12" s="19">
        <f>(F5+F6+F9+F10+F11)/1000000*8000</f>
        <v>181.96167378216612</v>
      </c>
    </row>
    <row r="13" spans="2:8" x14ac:dyDescent="0.25">
      <c r="B13" s="36" t="s">
        <v>106</v>
      </c>
      <c r="C13" s="18" t="s">
        <v>37</v>
      </c>
      <c r="D13" s="16"/>
      <c r="E13" s="19"/>
      <c r="F13" s="19">
        <f>(F5+F7+F9+F10+F11)/1000000*8000</f>
        <v>257.43948633663962</v>
      </c>
    </row>
    <row r="14" spans="2:8" x14ac:dyDescent="0.25">
      <c r="B14" s="15"/>
      <c r="C14" s="15"/>
      <c r="D14" s="15"/>
      <c r="E14" s="15"/>
      <c r="F14" s="15"/>
    </row>
    <row r="15" spans="2:8" x14ac:dyDescent="0.25">
      <c r="B15" s="28" t="s">
        <v>84</v>
      </c>
      <c r="C15" s="15"/>
      <c r="D15" s="15"/>
      <c r="E15" s="15"/>
      <c r="F15" s="15"/>
    </row>
    <row r="16" spans="2:8" x14ac:dyDescent="0.25">
      <c r="B16" s="14" t="s">
        <v>122</v>
      </c>
      <c r="C16" s="23">
        <v>567.5</v>
      </c>
      <c r="D16" s="15"/>
      <c r="E16" s="15" t="s">
        <v>123</v>
      </c>
      <c r="F16" s="15"/>
    </row>
    <row r="17" spans="2:7" x14ac:dyDescent="0.25">
      <c r="B17" s="14" t="s">
        <v>83</v>
      </c>
      <c r="C17" s="23">
        <v>603.1</v>
      </c>
      <c r="E17" s="48">
        <f>E22*(100-ABS(G17))/100</f>
        <v>650.66170868347365</v>
      </c>
      <c r="F17" s="11" t="s">
        <v>125</v>
      </c>
      <c r="G17" s="11">
        <v>-10.6442577030812</v>
      </c>
    </row>
    <row r="18" spans="2:7" x14ac:dyDescent="0.25">
      <c r="B18" s="14" t="s">
        <v>35</v>
      </c>
      <c r="C18" s="21">
        <v>607.5</v>
      </c>
      <c r="E18" s="11" t="s">
        <v>124</v>
      </c>
    </row>
    <row r="19" spans="2:7" x14ac:dyDescent="0.25">
      <c r="B19" s="24" t="s">
        <v>90</v>
      </c>
      <c r="C19" s="21">
        <v>816</v>
      </c>
      <c r="E19" s="48">
        <f>0.925284087372294*1000</f>
        <v>925.28408737229393</v>
      </c>
      <c r="F19" s="11" t="s">
        <v>125</v>
      </c>
    </row>
    <row r="21" spans="2:7" x14ac:dyDescent="0.25">
      <c r="E21" s="11" t="s">
        <v>126</v>
      </c>
    </row>
    <row r="22" spans="2:7" x14ac:dyDescent="0.25">
      <c r="E22" s="11">
        <v>728.17</v>
      </c>
      <c r="F22" s="11" t="s">
        <v>125</v>
      </c>
    </row>
    <row r="24" spans="2:7" x14ac:dyDescent="0.25">
      <c r="E24" s="11" t="s">
        <v>127</v>
      </c>
    </row>
    <row r="25" spans="2:7" x14ac:dyDescent="0.25">
      <c r="E25" s="11">
        <v>1366.03</v>
      </c>
      <c r="F25" s="11" t="s">
        <v>125</v>
      </c>
    </row>
  </sheetData>
  <mergeCells count="2">
    <mergeCell ref="B4:F4"/>
    <mergeCell ref="B8:F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6"/>
  <sheetViews>
    <sheetView tabSelected="1" zoomScaleNormal="100" workbookViewId="0">
      <selection activeCell="K14" sqref="K14"/>
    </sheetView>
  </sheetViews>
  <sheetFormatPr defaultRowHeight="15" x14ac:dyDescent="0.25"/>
  <cols>
    <col min="2" max="2" width="39.140625" bestFit="1" customWidth="1"/>
    <col min="3" max="3" width="8.5703125" bestFit="1" customWidth="1"/>
    <col min="5" max="5" width="39.140625" bestFit="1" customWidth="1"/>
    <col min="6" max="6" width="8.5703125" bestFit="1" customWidth="1"/>
  </cols>
  <sheetData>
    <row r="2" spans="2:6" x14ac:dyDescent="0.25">
      <c r="B2" s="55" t="s">
        <v>97</v>
      </c>
      <c r="C2" s="55"/>
      <c r="E2" s="55" t="s">
        <v>107</v>
      </c>
      <c r="F2" s="55"/>
    </row>
    <row r="3" spans="2:6" x14ac:dyDescent="0.25">
      <c r="B3" s="10" t="s">
        <v>92</v>
      </c>
      <c r="C3" s="21">
        <f>CAPEX!B42</f>
        <v>18.233403677311902</v>
      </c>
      <c r="E3" s="10" t="s">
        <v>92</v>
      </c>
      <c r="F3" s="21">
        <f t="shared" ref="F3:F18" si="0">C3</f>
        <v>18.233403677311902</v>
      </c>
    </row>
    <row r="4" spans="2:6" x14ac:dyDescent="0.25">
      <c r="B4" s="26" t="s">
        <v>53</v>
      </c>
      <c r="C4" s="21">
        <f>CAPEX!B45</f>
        <v>68.192929753146529</v>
      </c>
      <c r="E4" s="26" t="s">
        <v>53</v>
      </c>
      <c r="F4" s="21">
        <f t="shared" si="0"/>
        <v>68.192929753146529</v>
      </c>
    </row>
    <row r="5" spans="2:6" x14ac:dyDescent="0.25">
      <c r="B5" s="26" t="s">
        <v>54</v>
      </c>
      <c r="C5" s="21">
        <f>CAPEX!B46</f>
        <v>20.457878925943959</v>
      </c>
      <c r="E5" s="26" t="s">
        <v>54</v>
      </c>
      <c r="F5" s="21">
        <f t="shared" si="0"/>
        <v>20.457878925943959</v>
      </c>
    </row>
    <row r="6" spans="2:6" x14ac:dyDescent="0.25">
      <c r="B6" s="26" t="s">
        <v>74</v>
      </c>
      <c r="C6" s="21">
        <f>CAPEX!B47</f>
        <v>26.595242603727147</v>
      </c>
      <c r="E6" s="26" t="s">
        <v>74</v>
      </c>
      <c r="F6" s="21">
        <f t="shared" si="0"/>
        <v>26.595242603727147</v>
      </c>
    </row>
    <row r="7" spans="2:6" x14ac:dyDescent="0.25">
      <c r="B7" s="26" t="s">
        <v>56</v>
      </c>
      <c r="C7" s="21">
        <f>CAPEX!B48</f>
        <v>8.8650808679090485</v>
      </c>
      <c r="E7" s="26" t="s">
        <v>56</v>
      </c>
      <c r="F7" s="21">
        <f t="shared" si="0"/>
        <v>8.8650808679090485</v>
      </c>
    </row>
    <row r="8" spans="2:6" x14ac:dyDescent="0.25">
      <c r="B8" s="26" t="s">
        <v>57</v>
      </c>
      <c r="C8" s="21">
        <f>CAPEX!B49</f>
        <v>124.11113215072669</v>
      </c>
      <c r="E8" s="26" t="s">
        <v>57</v>
      </c>
      <c r="F8" s="21">
        <f t="shared" si="0"/>
        <v>124.11113215072669</v>
      </c>
    </row>
    <row r="9" spans="2:6" x14ac:dyDescent="0.25">
      <c r="B9" s="26" t="s">
        <v>60</v>
      </c>
      <c r="C9" s="21">
        <f>CAPEX!B50</f>
        <v>18.616669822609001</v>
      </c>
      <c r="E9" s="26" t="s">
        <v>60</v>
      </c>
      <c r="F9" s="21">
        <f t="shared" si="0"/>
        <v>18.616669822609001</v>
      </c>
    </row>
    <row r="10" spans="2:6" x14ac:dyDescent="0.25">
      <c r="B10" s="10" t="s">
        <v>58</v>
      </c>
      <c r="C10" s="21">
        <f>CAPEX!B51</f>
        <v>142.72780197333569</v>
      </c>
      <c r="E10" s="10" t="s">
        <v>58</v>
      </c>
      <c r="F10" s="21">
        <f t="shared" si="0"/>
        <v>142.72780197333569</v>
      </c>
    </row>
    <row r="11" spans="2:6" x14ac:dyDescent="0.25">
      <c r="B11" s="10" t="s">
        <v>79</v>
      </c>
      <c r="C11" s="21">
        <f>SUM('Production costs'!B9)</f>
        <v>0</v>
      </c>
      <c r="E11" s="10" t="s">
        <v>79</v>
      </c>
      <c r="F11" s="21">
        <f t="shared" si="0"/>
        <v>0</v>
      </c>
    </row>
    <row r="12" spans="2:6" x14ac:dyDescent="0.25">
      <c r="B12" s="10" t="s">
        <v>80</v>
      </c>
      <c r="C12" s="21">
        <f>SUM('Production costs'!B12)</f>
        <v>0</v>
      </c>
      <c r="E12" s="10" t="s">
        <v>80</v>
      </c>
      <c r="F12" s="21">
        <f t="shared" si="0"/>
        <v>0</v>
      </c>
    </row>
    <row r="13" spans="2:6" x14ac:dyDescent="0.25">
      <c r="B13" s="10" t="s">
        <v>69</v>
      </c>
      <c r="C13" s="21">
        <f>SUM('Production costs'!B16)</f>
        <v>0</v>
      </c>
      <c r="E13" s="10" t="s">
        <v>69</v>
      </c>
      <c r="F13" s="21">
        <f t="shared" si="0"/>
        <v>0</v>
      </c>
    </row>
    <row r="14" spans="2:6" x14ac:dyDescent="0.25">
      <c r="B14" s="10" t="s">
        <v>76</v>
      </c>
      <c r="C14" s="21">
        <f>SUM('Production costs'!B19)</f>
        <v>0</v>
      </c>
      <c r="E14" s="10" t="s">
        <v>76</v>
      </c>
      <c r="F14" s="21">
        <f t="shared" si="0"/>
        <v>0</v>
      </c>
    </row>
    <row r="15" spans="2:6" x14ac:dyDescent="0.25">
      <c r="B15" s="10" t="s">
        <v>26</v>
      </c>
      <c r="C15" s="21">
        <v>25</v>
      </c>
      <c r="E15" s="10" t="s">
        <v>26</v>
      </c>
      <c r="F15" s="21">
        <f t="shared" si="0"/>
        <v>25</v>
      </c>
    </row>
    <row r="16" spans="2:6" x14ac:dyDescent="0.25">
      <c r="B16" s="10" t="s">
        <v>27</v>
      </c>
      <c r="C16" s="21">
        <v>0.12</v>
      </c>
      <c r="E16" s="10" t="s">
        <v>27</v>
      </c>
      <c r="F16" s="21">
        <f t="shared" si="0"/>
        <v>0.12</v>
      </c>
    </row>
    <row r="17" spans="2:6" x14ac:dyDescent="0.25">
      <c r="B17" s="10" t="s">
        <v>28</v>
      </c>
      <c r="C17" s="20">
        <v>0.12749996980950773</v>
      </c>
      <c r="E17" s="10" t="s">
        <v>28</v>
      </c>
      <c r="F17" s="20">
        <f t="shared" si="0"/>
        <v>0.12749996980950773</v>
      </c>
    </row>
    <row r="18" spans="2:6" x14ac:dyDescent="0.25">
      <c r="B18" s="13" t="s">
        <v>36</v>
      </c>
      <c r="C18" s="17">
        <f>CAPEX!B56</f>
        <v>18.197790442577698</v>
      </c>
      <c r="E18" s="13" t="s">
        <v>36</v>
      </c>
      <c r="F18" s="17">
        <f t="shared" si="0"/>
        <v>18.197790442577698</v>
      </c>
    </row>
    <row r="19" spans="2:6" x14ac:dyDescent="0.25">
      <c r="B19" s="13" t="s">
        <v>96</v>
      </c>
      <c r="C19" s="17">
        <v>0</v>
      </c>
      <c r="E19" s="13" t="s">
        <v>96</v>
      </c>
      <c r="F19" s="17">
        <v>0</v>
      </c>
    </row>
    <row r="20" spans="2:6" x14ac:dyDescent="0.25">
      <c r="B20" s="13" t="s">
        <v>85</v>
      </c>
      <c r="C20" s="17">
        <f>OPEX!F12</f>
        <v>181.96167378216612</v>
      </c>
      <c r="E20" s="13" t="s">
        <v>85</v>
      </c>
      <c r="F20" s="17">
        <f>OPEX!F13</f>
        <v>257.43948633663962</v>
      </c>
    </row>
    <row r="21" spans="2:6" x14ac:dyDescent="0.25">
      <c r="B21" s="13" t="s">
        <v>95</v>
      </c>
      <c r="C21" s="17">
        <f>(C18+C19+C20)</f>
        <v>200.15946422474383</v>
      </c>
      <c r="E21" s="13" t="s">
        <v>95</v>
      </c>
      <c r="F21" s="17">
        <f>(F18+F19+F20)</f>
        <v>275.6372767792173</v>
      </c>
    </row>
    <row r="22" spans="2:6" x14ac:dyDescent="0.25">
      <c r="B22" s="13" t="s">
        <v>94</v>
      </c>
      <c r="C22" s="17">
        <f>(C21)*1000000/8000</f>
        <v>25019.933028092979</v>
      </c>
      <c r="E22" s="13" t="s">
        <v>94</v>
      </c>
      <c r="F22" s="17">
        <f>(F21)*1000000/8000</f>
        <v>34454.659597402162</v>
      </c>
    </row>
    <row r="23" spans="2:6" x14ac:dyDescent="0.25">
      <c r="B23" s="28" t="s">
        <v>93</v>
      </c>
      <c r="C23" s="17">
        <v>37499.999995170001</v>
      </c>
      <c r="E23" s="28" t="s">
        <v>93</v>
      </c>
      <c r="F23" s="17">
        <v>37499.999995170001</v>
      </c>
    </row>
    <row r="24" spans="2:6" x14ac:dyDescent="0.25">
      <c r="B24" s="30" t="s">
        <v>108</v>
      </c>
      <c r="C24" s="44">
        <f>C22/C23</f>
        <v>0.66719821416841452</v>
      </c>
      <c r="E24" s="30" t="s">
        <v>108</v>
      </c>
      <c r="F24" s="44">
        <f>F22/F23</f>
        <v>0.91879092271573126</v>
      </c>
    </row>
    <row r="26" spans="2:6" x14ac:dyDescent="0.25">
      <c r="C26">
        <f>C18*10^6/8000/C23</f>
        <v>6.0659301483071908E-2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2025-04-30T15:53:44Z</dcterms:modified>
</cp:coreProperties>
</file>