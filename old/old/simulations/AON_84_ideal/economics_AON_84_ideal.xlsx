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4\"/>
    </mc:Choice>
  </mc:AlternateContent>
  <xr:revisionPtr revIDLastSave="0" documentId="13_ncr:1_{D99AA4F3-43E1-432C-976E-0B8CC67B89FA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1" l="1"/>
  <c r="F30" i="11"/>
  <c r="F29" i="11"/>
  <c r="F28" i="11"/>
  <c r="F27" i="11"/>
  <c r="F26" i="11"/>
  <c r="L23" i="11" l="1"/>
  <c r="I23" i="11"/>
  <c r="F23" i="11"/>
  <c r="D9" i="8"/>
  <c r="D7" i="8"/>
  <c r="D6" i="8"/>
  <c r="L14" i="7"/>
  <c r="L15" i="7"/>
  <c r="L13" i="7"/>
  <c r="H10" i="8" l="1"/>
  <c r="J10" i="8" s="1"/>
  <c r="D19" i="7"/>
  <c r="H19" i="7" s="1"/>
  <c r="D18" i="7"/>
  <c r="H18" i="7" s="1"/>
  <c r="D17" i="7"/>
  <c r="H17" i="7" s="1"/>
  <c r="G10" i="8" l="1"/>
  <c r="I10" i="8" l="1"/>
  <c r="H15" i="7" l="1"/>
  <c r="M14" i="7" l="1"/>
  <c r="N14" i="7" s="1"/>
  <c r="O14" i="7" s="1"/>
  <c r="Q14" i="7" s="1"/>
  <c r="D24" i="7" s="1"/>
  <c r="H24" i="7" s="1"/>
  <c r="H14" i="7"/>
  <c r="E5" i="8" l="1"/>
  <c r="F5" i="8" s="1"/>
  <c r="L17" i="11" l="1"/>
  <c r="L16" i="11"/>
  <c r="L15" i="11"/>
  <c r="I14" i="11"/>
  <c r="I13" i="11"/>
  <c r="I12" i="11"/>
  <c r="I11" i="11"/>
  <c r="H11" i="8"/>
  <c r="J11" i="8" s="1"/>
  <c r="G11" i="8"/>
  <c r="I11" i="8" s="1"/>
  <c r="G9" i="8"/>
  <c r="I9" i="8" s="1"/>
  <c r="H5" i="8"/>
  <c r="J5" i="8" s="1"/>
  <c r="G5" i="8"/>
  <c r="I5" i="8" s="1"/>
  <c r="H7" i="8"/>
  <c r="G7" i="8"/>
  <c r="H6" i="8"/>
  <c r="G6" i="8"/>
  <c r="J7" i="8" l="1"/>
  <c r="I7" i="8"/>
  <c r="G13" i="8"/>
  <c r="I20" i="11" s="1"/>
  <c r="I6" i="8"/>
  <c r="G12" i="8"/>
  <c r="C20" i="11" s="1"/>
  <c r="J6" i="8"/>
  <c r="F9" i="8"/>
  <c r="H9" i="8" s="1"/>
  <c r="H13" i="8" s="1"/>
  <c r="H12" i="8" l="1"/>
  <c r="L20" i="11"/>
  <c r="J9" i="8"/>
  <c r="F20" i="11"/>
  <c r="F14" i="11"/>
  <c r="L14" i="11" s="1"/>
  <c r="F13" i="11"/>
  <c r="L13" i="11" s="1"/>
  <c r="F12" i="11"/>
  <c r="L12" i="11" s="1"/>
  <c r="F11" i="11"/>
  <c r="L11" i="11" s="1"/>
  <c r="G6" i="12"/>
  <c r="G7" i="12" s="1"/>
  <c r="C42" i="7"/>
  <c r="G8" i="12" l="1"/>
  <c r="G9" i="12" s="1"/>
  <c r="C6" i="12" l="1"/>
  <c r="M15" i="7" l="1"/>
  <c r="N15" i="7" s="1"/>
  <c r="O15" i="7" s="1"/>
  <c r="Q15" i="7" s="1"/>
  <c r="D21" i="7" l="1"/>
  <c r="H21" i="7" s="1"/>
  <c r="C7" i="12" l="1"/>
  <c r="C8" i="12" l="1"/>
  <c r="C9" i="12" s="1"/>
  <c r="C16" i="11" l="1"/>
  <c r="I16" i="11" s="1"/>
  <c r="C15" i="11"/>
  <c r="I15" i="11" s="1"/>
  <c r="B42" i="7" l="1"/>
  <c r="C17" i="11" s="1"/>
  <c r="I17" i="11" s="1"/>
  <c r="M13" i="7" l="1"/>
  <c r="N13" i="7" s="1"/>
  <c r="O13" i="7" s="1"/>
  <c r="Q13" i="7" s="1"/>
  <c r="D23" i="7" s="1"/>
  <c r="H23" i="7" s="1"/>
  <c r="H25" i="7" s="1"/>
  <c r="B29" i="7" l="1"/>
  <c r="C3" i="11" s="1"/>
  <c r="I3" i="11" s="1"/>
  <c r="B30" i="7"/>
  <c r="B33" i="7" l="1"/>
  <c r="B37" i="7" s="1"/>
  <c r="C33" i="7"/>
  <c r="F3" i="11"/>
  <c r="L3" i="11" s="1"/>
  <c r="C11" i="12"/>
  <c r="B34" i="7"/>
  <c r="B36" i="7" s="1"/>
  <c r="C7" i="11" s="1"/>
  <c r="I7" i="11" s="1"/>
  <c r="C4" i="11"/>
  <c r="I4" i="11" s="1"/>
  <c r="C37" i="7" l="1"/>
  <c r="C34" i="7"/>
  <c r="C36" i="7" s="1"/>
  <c r="F7" i="11" s="1"/>
  <c r="L7" i="11" s="1"/>
  <c r="G11" i="12"/>
  <c r="F4" i="11"/>
  <c r="L4" i="11" s="1"/>
  <c r="C15" i="12"/>
  <c r="B38" i="7"/>
  <c r="C8" i="11"/>
  <c r="I8" i="11" s="1"/>
  <c r="C14" i="12"/>
  <c r="C12" i="12"/>
  <c r="B35" i="7"/>
  <c r="C6" i="11" s="1"/>
  <c r="I6" i="11" s="1"/>
  <c r="C5" i="11"/>
  <c r="I5" i="11" s="1"/>
  <c r="G15" i="12" l="1"/>
  <c r="C35" i="7"/>
  <c r="F6" i="11" s="1"/>
  <c r="L6" i="11" s="1"/>
  <c r="F5" i="11"/>
  <c r="L5" i="11" s="1"/>
  <c r="G12" i="12"/>
  <c r="G14" i="12"/>
  <c r="G16" i="12" s="1"/>
  <c r="C38" i="7"/>
  <c r="F8" i="11"/>
  <c r="L8" i="11" s="1"/>
  <c r="C16" i="12"/>
  <c r="B39" i="7"/>
  <c r="B43" i="7" s="1"/>
  <c r="B44" i="7" s="1"/>
  <c r="C18" i="11" s="1"/>
  <c r="I18" i="11" s="1"/>
  <c r="I26" i="11" s="1"/>
  <c r="C18" i="12"/>
  <c r="C19" i="12" s="1"/>
  <c r="C9" i="11"/>
  <c r="I9" i="11" s="1"/>
  <c r="I21" i="11" l="1"/>
  <c r="I22" i="11" s="1"/>
  <c r="I24" i="11" s="1"/>
  <c r="C39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43" i="7"/>
  <c r="C44" i="7" s="1"/>
  <c r="F18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<sst xmlns="http://schemas.openxmlformats.org/spreadsheetml/2006/main" count="246" uniqueCount="123">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</sst>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opLeftCell="A7" zoomScale="115" zoomScaleNormal="115" workbookViewId="0">
      <selection activeCell="E45" sqref="E45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48" t="s">
        <v>115</v>
      </c>
      <c r="B13" s="49"/>
      <c r="C13" s="49"/>
      <c r="D13" s="49"/>
      <c r="E13" s="49"/>
      <c r="F13" s="49"/>
      <c r="G13" s="49"/>
      <c r="H13" s="50"/>
      <c r="J13" s="33" t="s">
        <v>46</v>
      </c>
      <c r="K13" s="34">
        <v>1.8288</v>
      </c>
      <c r="L13" s="34">
        <f>4.572+2*0.25*K13</f>
        <v>5.4863999999999997</v>
      </c>
      <c r="M13" s="37">
        <f t="shared" ref="M13" si="0">K13+0.0254</f>
        <v>1.8542000000000001</v>
      </c>
      <c r="N13" s="37">
        <f t="shared" ref="N13" si="1">PI()*(M13*M13-K13*K13)/4</f>
        <v>7.3472584469137403E-2</v>
      </c>
      <c r="O13" s="37">
        <f t="shared" ref="O13" si="2">N13*L13</f>
        <v>0.4030999874314754</v>
      </c>
      <c r="P13" s="35">
        <v>8000</v>
      </c>
      <c r="Q13" s="34">
        <f t="shared" ref="Q13" si="3">P13*O13</f>
        <v>3224.7998994518034</v>
      </c>
    </row>
    <row r="14" spans="1:17" x14ac:dyDescent="0.25">
      <c r="A14" s="6" t="s">
        <v>118</v>
      </c>
      <c r="B14" s="6" t="s">
        <v>116</v>
      </c>
      <c r="C14" s="6" t="s">
        <v>117</v>
      </c>
      <c r="D14" s="9">
        <v>1791.396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2.3703789197489726</v>
      </c>
      <c r="J14" s="33" t="s">
        <v>120</v>
      </c>
      <c r="K14" s="34">
        <v>1.8288</v>
      </c>
      <c r="L14" s="34">
        <f>3.6576+2*0.25*K14</f>
        <v>4.5720000000000001</v>
      </c>
      <c r="M14" s="37">
        <f t="shared" ref="M14" si="5">K14+0.0254</f>
        <v>1.8542000000000001</v>
      </c>
      <c r="N14" s="37">
        <f t="shared" ref="N14" si="6">PI()*(M14*M14-K14*K14)/4</f>
        <v>7.3472584469137403E-2</v>
      </c>
      <c r="O14" s="37">
        <f t="shared" ref="O14" si="7">N14*L14</f>
        <v>0.33591665619289623</v>
      </c>
      <c r="P14" s="35">
        <v>8000</v>
      </c>
      <c r="Q14" s="34">
        <f t="shared" ref="Q14" si="8">P14*O14</f>
        <v>2687.33324954317</v>
      </c>
    </row>
    <row r="15" spans="1:17" x14ac:dyDescent="0.25">
      <c r="A15" s="6" t="s">
        <v>119</v>
      </c>
      <c r="B15" s="6" t="s">
        <v>116</v>
      </c>
      <c r="C15" s="6" t="s">
        <v>117</v>
      </c>
      <c r="D15" s="9">
        <v>676.195155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1.5778683049926348</v>
      </c>
      <c r="J15" s="33" t="s">
        <v>91</v>
      </c>
      <c r="K15" s="34">
        <v>1.8288</v>
      </c>
      <c r="L15" s="34">
        <f>4.572+2*0.25*K15</f>
        <v>5.4863999999999997</v>
      </c>
      <c r="M15" s="37">
        <f t="shared" ref="M15" si="10">K15+0.0254</f>
        <v>1.8542000000000001</v>
      </c>
      <c r="N15" s="37">
        <f t="shared" ref="N15" si="11">PI()*(M15*M15-K15*K15)/4</f>
        <v>7.3472584469137403E-2</v>
      </c>
      <c r="O15" s="37">
        <f t="shared" ref="O15" si="12">N15*L15</f>
        <v>0.4030999874314754</v>
      </c>
      <c r="P15" s="35">
        <v>8000</v>
      </c>
      <c r="Q15" s="34">
        <f t="shared" ref="Q15" si="13">P15*O15</f>
        <v>3224.7998994518034</v>
      </c>
    </row>
    <row r="16" spans="1:17" x14ac:dyDescent="0.25">
      <c r="A16" s="48" t="s">
        <v>89</v>
      </c>
      <c r="B16" s="49"/>
      <c r="C16" s="49"/>
      <c r="D16" s="49"/>
      <c r="E16" s="49"/>
      <c r="F16" s="49"/>
      <c r="G16" s="49"/>
      <c r="H16" s="50"/>
    </row>
    <row r="17" spans="1:10" x14ac:dyDescent="0.25">
      <c r="A17" s="6" t="s">
        <v>121</v>
      </c>
      <c r="B17" s="6" t="s">
        <v>49</v>
      </c>
      <c r="C17" s="6" t="s">
        <v>50</v>
      </c>
      <c r="D17" s="21">
        <f>I17/J17</f>
        <v>491.75465533268437</v>
      </c>
      <c r="E17" s="8">
        <v>28000</v>
      </c>
      <c r="F17" s="8">
        <v>54</v>
      </c>
      <c r="G17" s="9">
        <v>1.2</v>
      </c>
      <c r="H17" s="9">
        <f>(E17+(F17*(D17^G17)))/1000000*J17</f>
        <v>1.915614244965248</v>
      </c>
      <c r="I17" s="46">
        <v>7868.0744853229498</v>
      </c>
      <c r="J17" s="47">
        <v>16</v>
      </c>
    </row>
    <row r="18" spans="1:10" x14ac:dyDescent="0.25">
      <c r="A18" s="6" t="s">
        <v>121</v>
      </c>
      <c r="B18" s="6" t="s">
        <v>49</v>
      </c>
      <c r="C18" s="6" t="s">
        <v>50</v>
      </c>
      <c r="D18" s="21">
        <f>I18/J18</f>
        <v>393.07391987367549</v>
      </c>
      <c r="E18" s="8">
        <v>28000</v>
      </c>
      <c r="F18" s="8">
        <v>54</v>
      </c>
      <c r="G18" s="9">
        <v>1.2</v>
      </c>
      <c r="H18" s="9">
        <f>(E18+(F18*(D18^G18)))/1000000*J18</f>
        <v>0.19621446883953406</v>
      </c>
      <c r="I18" s="46">
        <v>786.14783974735099</v>
      </c>
      <c r="J18" s="47">
        <v>2</v>
      </c>
    </row>
    <row r="19" spans="1:10" x14ac:dyDescent="0.25">
      <c r="A19" s="6" t="s">
        <v>121</v>
      </c>
      <c r="B19" s="6" t="s">
        <v>49</v>
      </c>
      <c r="C19" s="6" t="s">
        <v>50</v>
      </c>
      <c r="D19" s="21">
        <f>I19/J19</f>
        <v>412.21844867378206</v>
      </c>
      <c r="E19" s="8">
        <v>28000</v>
      </c>
      <c r="F19" s="8">
        <v>54</v>
      </c>
      <c r="G19" s="9">
        <v>1.2</v>
      </c>
      <c r="H19" s="9">
        <f>(E19+(F19*(D19^G19)))/1000000*J19</f>
        <v>1.0222439549977951</v>
      </c>
      <c r="I19" s="46">
        <v>4122.1844867378204</v>
      </c>
      <c r="J19" s="47">
        <v>10</v>
      </c>
    </row>
    <row r="20" spans="1:10" x14ac:dyDescent="0.25">
      <c r="A20" s="51" t="s">
        <v>51</v>
      </c>
      <c r="B20" s="52"/>
      <c r="C20" s="52"/>
      <c r="D20" s="52"/>
      <c r="E20" s="52"/>
      <c r="F20" s="52"/>
      <c r="G20" s="52"/>
      <c r="H20" s="53"/>
    </row>
    <row r="21" spans="1:10" x14ac:dyDescent="0.25">
      <c r="A21" s="7" t="s">
        <v>91</v>
      </c>
      <c r="B21" s="6" t="s">
        <v>90</v>
      </c>
      <c r="C21" s="6" t="s">
        <v>52</v>
      </c>
      <c r="D21" s="9">
        <f>Q15</f>
        <v>3224.7998994518034</v>
      </c>
      <c r="E21" s="8">
        <v>17400</v>
      </c>
      <c r="F21" s="8">
        <v>79</v>
      </c>
      <c r="G21" s="9">
        <v>0.85</v>
      </c>
      <c r="H21" s="9">
        <f>(E21+(F21*(D21^G21)))/1000000</f>
        <v>9.3232338201156256E-2</v>
      </c>
    </row>
    <row r="22" spans="1:10" x14ac:dyDescent="0.25">
      <c r="A22" s="48" t="s">
        <v>92</v>
      </c>
      <c r="B22" s="49"/>
      <c r="C22" s="49"/>
      <c r="D22" s="49"/>
      <c r="E22" s="49"/>
      <c r="F22" s="49"/>
      <c r="G22" s="49"/>
      <c r="H22" s="50"/>
    </row>
    <row r="23" spans="1:10" x14ac:dyDescent="0.25">
      <c r="A23" s="6" t="s">
        <v>46</v>
      </c>
      <c r="B23" s="6" t="s">
        <v>90</v>
      </c>
      <c r="C23" s="6" t="s">
        <v>52</v>
      </c>
      <c r="D23" s="9">
        <f>Q13</f>
        <v>3224.7998994518034</v>
      </c>
      <c r="E23" s="8">
        <v>17400</v>
      </c>
      <c r="F23" s="8">
        <v>79</v>
      </c>
      <c r="G23" s="9">
        <v>0.85</v>
      </c>
      <c r="H23" s="9">
        <f>(E23+(F23*(D23^G23)))/1000000</f>
        <v>9.3232338201156256E-2</v>
      </c>
    </row>
    <row r="24" spans="1:10" x14ac:dyDescent="0.25">
      <c r="A24" s="6" t="s">
        <v>120</v>
      </c>
      <c r="B24" s="6" t="s">
        <v>90</v>
      </c>
      <c r="C24" s="6" t="s">
        <v>52</v>
      </c>
      <c r="D24" s="9">
        <f>Q14</f>
        <v>2687.33324954317</v>
      </c>
      <c r="E24" s="8">
        <v>17400</v>
      </c>
      <c r="F24" s="8">
        <v>79</v>
      </c>
      <c r="G24" s="9">
        <v>0.85</v>
      </c>
      <c r="H24" s="9">
        <f t="shared" ref="H24" si="14">(E24+(F24*(D24^G24)))/1000000</f>
        <v>8.2345697894963321E-2</v>
      </c>
    </row>
    <row r="25" spans="1:10" x14ac:dyDescent="0.25">
      <c r="H25" s="38">
        <f>SUM(H14:H24)</f>
        <v>7.3511302678414605</v>
      </c>
    </row>
    <row r="26" spans="1:10" x14ac:dyDescent="0.25">
      <c r="A26" s="24" t="s">
        <v>34</v>
      </c>
      <c r="B26" s="21">
        <v>532.9</v>
      </c>
    </row>
    <row r="27" spans="1:10" x14ac:dyDescent="0.25">
      <c r="A27" s="24" t="s">
        <v>35</v>
      </c>
      <c r="B27" s="21">
        <v>607.5</v>
      </c>
    </row>
    <row r="28" spans="1:10" x14ac:dyDescent="0.25">
      <c r="A28" s="24" t="s">
        <v>93</v>
      </c>
      <c r="B28" s="21">
        <v>816</v>
      </c>
    </row>
    <row r="29" spans="1:10" x14ac:dyDescent="0.25">
      <c r="A29" s="24" t="s">
        <v>53</v>
      </c>
      <c r="B29" s="21">
        <f>H25*B27/B26</f>
        <v>8.3802057378751886</v>
      </c>
    </row>
    <row r="30" spans="1:10" x14ac:dyDescent="0.25">
      <c r="A30" s="24" t="s">
        <v>94</v>
      </c>
      <c r="B30" s="21">
        <f>H25*B28/B26</f>
        <v>11.256375114578029</v>
      </c>
    </row>
    <row r="31" spans="1:10" x14ac:dyDescent="0.25">
      <c r="A31" s="39"/>
      <c r="B31" s="32"/>
    </row>
    <row r="32" spans="1:10" x14ac:dyDescent="0.25">
      <c r="B32" s="36">
        <v>2019</v>
      </c>
      <c r="C32" s="36">
        <v>2022</v>
      </c>
    </row>
    <row r="33" spans="1:15" x14ac:dyDescent="0.25">
      <c r="A33" s="26" t="s">
        <v>54</v>
      </c>
      <c r="B33" s="40">
        <f>(B29)*((1+C3)+(C2+C5+C4+C6+C7+C8)/C9)*C9</f>
        <v>31.341969459653214</v>
      </c>
      <c r="C33" s="40">
        <f>(B30)*((1+C3)+(C2+C5+C4+C6+C7+C8)/C9)*C9</f>
        <v>42.098842928521833</v>
      </c>
    </row>
    <row r="34" spans="1:15" x14ac:dyDescent="0.25">
      <c r="A34" s="26" t="s">
        <v>55</v>
      </c>
      <c r="B34" s="40">
        <f>0.3*B33</f>
        <v>9.4025908378959642</v>
      </c>
      <c r="C34" s="40">
        <f>0.3*C33</f>
        <v>12.62965287855655</v>
      </c>
    </row>
    <row r="35" spans="1:15" x14ac:dyDescent="0.25">
      <c r="A35" s="26" t="s">
        <v>56</v>
      </c>
      <c r="B35" s="40">
        <f>0.3*SUM(B33:B34)</f>
        <v>12.223368089264753</v>
      </c>
      <c r="C35" s="40">
        <f>0.3*SUM(C33:C34)</f>
        <v>16.418548742123512</v>
      </c>
      <c r="D35"/>
    </row>
    <row r="36" spans="1:15" x14ac:dyDescent="0.25">
      <c r="A36" s="26" t="s">
        <v>57</v>
      </c>
      <c r="B36" s="40">
        <f>0.1*SUM(B33:B34)</f>
        <v>4.0744560297549182</v>
      </c>
      <c r="C36" s="40">
        <f>0.1*SUM(C33:C34)</f>
        <v>5.4728495807078383</v>
      </c>
      <c r="D36"/>
    </row>
    <row r="37" spans="1:15" x14ac:dyDescent="0.25">
      <c r="A37" s="26" t="s">
        <v>58</v>
      </c>
      <c r="B37" s="40">
        <f>B33*(1+0.3)*(1+0.3+0.1)</f>
        <v>57.042384416568858</v>
      </c>
      <c r="C37" s="40">
        <f>C33*(1+0.3)*(1+0.3+0.1)</f>
        <v>76.619894129909738</v>
      </c>
      <c r="D37"/>
    </row>
    <row r="38" spans="1:15" x14ac:dyDescent="0.25">
      <c r="A38" s="26" t="s">
        <v>61</v>
      </c>
      <c r="B38" s="40">
        <f>B37*0.15</f>
        <v>8.556357662485329</v>
      </c>
      <c r="C38" s="40">
        <f>C37*0.15</f>
        <v>11.49298411948646</v>
      </c>
      <c r="D38"/>
    </row>
    <row r="39" spans="1:15" x14ac:dyDescent="0.25">
      <c r="A39" s="26" t="s">
        <v>59</v>
      </c>
      <c r="B39" s="40">
        <f>B37+B38</f>
        <v>65.59874207905419</v>
      </c>
      <c r="C39" s="40">
        <f>C37+C38</f>
        <v>88.112878249396204</v>
      </c>
      <c r="D39"/>
      <c r="O39" s="44"/>
    </row>
    <row r="40" spans="1:15" x14ac:dyDescent="0.25">
      <c r="A40" s="26" t="s">
        <v>26</v>
      </c>
      <c r="B40" s="40">
        <v>25</v>
      </c>
      <c r="C40" s="40">
        <v>25</v>
      </c>
    </row>
    <row r="41" spans="1:15" x14ac:dyDescent="0.25">
      <c r="A41" s="26" t="s">
        <v>27</v>
      </c>
      <c r="B41" s="40">
        <v>0.12</v>
      </c>
      <c r="C41" s="40">
        <v>0.12</v>
      </c>
    </row>
    <row r="42" spans="1:15" x14ac:dyDescent="0.25">
      <c r="A42" s="26" t="s">
        <v>28</v>
      </c>
      <c r="B42" s="40">
        <f>(B41*((1+B41)^B40))/(((1+B41)^B40)-1)</f>
        <v>0.12749996980950773</v>
      </c>
      <c r="C42" s="40">
        <f>(C41*((1+C41)^C40))/(((1+C41)^C40)-1)</f>
        <v>0.12749996980950773</v>
      </c>
    </row>
    <row r="43" spans="1:15" x14ac:dyDescent="0.25">
      <c r="A43" s="26" t="s">
        <v>60</v>
      </c>
      <c r="B43" s="40">
        <f>B42*B39</f>
        <v>8.3638376346210936</v>
      </c>
      <c r="C43" s="40">
        <f>C42*C39</f>
        <v>11.234389316626846</v>
      </c>
    </row>
    <row r="44" spans="1:15" x14ac:dyDescent="0.25">
      <c r="A44" s="25" t="s">
        <v>36</v>
      </c>
      <c r="B44" s="19">
        <f>B43</f>
        <v>8.3638376346210936</v>
      </c>
      <c r="C44" s="19">
        <f>C43</f>
        <v>11.234389316626846</v>
      </c>
    </row>
    <row r="85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</sheetData>
  <mergeCells count="4">
    <mergeCell ref="A16:H16"/>
    <mergeCell ref="A20:H20"/>
    <mergeCell ref="A22:H22"/>
    <mergeCell ref="A13:H13"/>
  </mergeCells>
  <conditionalFormatting sqref="I17">
    <cfRule type="cellIs" dxfId="1" priority="3" operator="lessThanOrEqual">
      <formula>1000</formula>
    </cfRule>
  </conditionalFormatting>
  <conditionalFormatting sqref="I18:I19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8.5703125" bestFit="1" customWidth="1"/>
    <col min="5" max="5" width="15.28515625" customWidth="1"/>
    <col min="6" max="6" width="30.42578125" bestFit="1" customWidth="1"/>
    <col min="7" max="7" width="8.5703125" bestFit="1" customWidth="1"/>
  </cols>
  <sheetData>
    <row r="3" spans="1:7" x14ac:dyDescent="0.25">
      <c r="A3" s="54">
        <v>2019</v>
      </c>
      <c r="B3" s="54"/>
      <c r="C3" s="54"/>
      <c r="E3" s="54">
        <v>2022</v>
      </c>
      <c r="F3" s="54"/>
      <c r="G3" s="54"/>
    </row>
    <row r="4" spans="1:7" x14ac:dyDescent="0.25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25">
      <c r="A5" s="54" t="s">
        <v>81</v>
      </c>
      <c r="B5" s="54"/>
      <c r="C5" s="54"/>
      <c r="E5" s="54" t="s">
        <v>81</v>
      </c>
      <c r="F5" s="54"/>
      <c r="G5" s="54"/>
    </row>
    <row r="6" spans="1:7" x14ac:dyDescent="0.25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25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25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25">
      <c r="A9" s="48"/>
      <c r="B9" s="50"/>
      <c r="C9" s="17">
        <f>SUM(C6:C8)</f>
        <v>7.3406250000000002</v>
      </c>
      <c r="E9" s="48"/>
      <c r="F9" s="50"/>
      <c r="G9" s="17">
        <f>SUM(G6:G8)</f>
        <v>7.3406250000000002</v>
      </c>
    </row>
    <row r="10" spans="1:7" x14ac:dyDescent="0.25">
      <c r="A10" s="54" t="s">
        <v>82</v>
      </c>
      <c r="B10" s="54"/>
      <c r="C10" s="54"/>
      <c r="E10" s="54" t="s">
        <v>82</v>
      </c>
      <c r="F10" s="54"/>
      <c r="G10" s="54"/>
    </row>
    <row r="11" spans="1:7" x14ac:dyDescent="0.25">
      <c r="A11" s="10" t="s">
        <v>69</v>
      </c>
      <c r="B11" s="10" t="s">
        <v>70</v>
      </c>
      <c r="C11" s="23">
        <f>0.03*CAPEX!B33</f>
        <v>0.94025908378959633</v>
      </c>
      <c r="E11" s="10" t="s">
        <v>69</v>
      </c>
      <c r="F11" s="10" t="s">
        <v>70</v>
      </c>
      <c r="G11" s="23">
        <f>0.03*CAPEX!C33</f>
        <v>1.262965287855655</v>
      </c>
    </row>
    <row r="12" spans="1:7" x14ac:dyDescent="0.25">
      <c r="A12" s="54"/>
      <c r="B12" s="54"/>
      <c r="C12" s="29">
        <f>C11</f>
        <v>0.94025908378959633</v>
      </c>
      <c r="E12" s="54"/>
      <c r="F12" s="54"/>
      <c r="G12" s="29">
        <f>G11</f>
        <v>1.262965287855655</v>
      </c>
    </row>
    <row r="13" spans="1:7" x14ac:dyDescent="0.25">
      <c r="A13" s="48" t="s">
        <v>71</v>
      </c>
      <c r="B13" s="49"/>
      <c r="C13" s="50"/>
      <c r="E13" s="48" t="s">
        <v>71</v>
      </c>
      <c r="F13" s="49"/>
      <c r="G13" s="50"/>
    </row>
    <row r="14" spans="1:7" x14ac:dyDescent="0.25">
      <c r="A14" s="10" t="s">
        <v>72</v>
      </c>
      <c r="B14" s="10" t="s">
        <v>74</v>
      </c>
      <c r="C14" s="21">
        <f>0.65*(C6+C7+C8+C11)</f>
        <v>5.3825746544632374</v>
      </c>
      <c r="E14" s="10" t="s">
        <v>72</v>
      </c>
      <c r="F14" s="10" t="s">
        <v>74</v>
      </c>
      <c r="G14" s="21">
        <f>0.65*(G6+G7+G8+G11)</f>
        <v>5.5923336871061755</v>
      </c>
    </row>
    <row r="15" spans="1:7" x14ac:dyDescent="0.25">
      <c r="A15" s="10" t="s">
        <v>75</v>
      </c>
      <c r="B15" s="10" t="s">
        <v>77</v>
      </c>
      <c r="C15" s="21">
        <f>0.02*(CAPEX!B33+CAPEX!B34)</f>
        <v>0.81489120595098363</v>
      </c>
      <c r="E15" s="10" t="s">
        <v>75</v>
      </c>
      <c r="F15" s="10" t="s">
        <v>77</v>
      </c>
      <c r="G15" s="21">
        <f>0.02*(CAPEX!C33+CAPEX!C34)</f>
        <v>1.0945699161415676</v>
      </c>
    </row>
    <row r="16" spans="1:7" x14ac:dyDescent="0.25">
      <c r="A16" s="54"/>
      <c r="B16" s="54"/>
      <c r="C16" s="29">
        <f>SUM(C14:C15)</f>
        <v>6.197465860414221</v>
      </c>
      <c r="E16" s="54"/>
      <c r="F16" s="54"/>
      <c r="G16" s="29">
        <f>SUM(G14:G15)</f>
        <v>6.6869036032477434</v>
      </c>
    </row>
    <row r="17" spans="1:7" x14ac:dyDescent="0.25">
      <c r="A17" s="48" t="s">
        <v>78</v>
      </c>
      <c r="B17" s="49"/>
      <c r="C17" s="50"/>
      <c r="E17" s="48" t="s">
        <v>78</v>
      </c>
      <c r="F17" s="49"/>
      <c r="G17" s="50"/>
    </row>
    <row r="18" spans="1:7" x14ac:dyDescent="0.25">
      <c r="A18" s="10" t="s">
        <v>79</v>
      </c>
      <c r="B18" s="10" t="s">
        <v>80</v>
      </c>
      <c r="C18" s="23">
        <f>0.06*CAPEX!B38</f>
        <v>0.51338145974911975</v>
      </c>
      <c r="E18" s="10" t="s">
        <v>79</v>
      </c>
      <c r="F18" s="10" t="s">
        <v>80</v>
      </c>
      <c r="G18" s="23">
        <f>0.06*CAPEX!C38</f>
        <v>0.68957904716918761</v>
      </c>
    </row>
    <row r="19" spans="1:7" x14ac:dyDescent="0.25">
      <c r="A19" s="54"/>
      <c r="B19" s="54"/>
      <c r="C19" s="17">
        <f>C18</f>
        <v>0.51338145974911975</v>
      </c>
      <c r="E19" s="54"/>
      <c r="F19" s="54"/>
      <c r="G19" s="17">
        <f>G18</f>
        <v>0.68957904716918761</v>
      </c>
    </row>
    <row r="20" spans="1:7" x14ac:dyDescent="0.25">
      <c r="A20" s="48" t="s">
        <v>83</v>
      </c>
      <c r="B20" s="50"/>
      <c r="C20" s="17">
        <f>C9+C12+C16+C19</f>
        <v>14.991731403952937</v>
      </c>
      <c r="E20" s="48" t="s">
        <v>83</v>
      </c>
      <c r="F20" s="50"/>
      <c r="G20" s="17">
        <f>G9+G12+G16+G19</f>
        <v>15.980072938272587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8"/>
  <sheetViews>
    <sheetView zoomScale="145" zoomScaleNormal="145" workbookViewId="0">
      <selection activeCell="E19" sqref="E19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6" width="16.7109375" style="11" bestFit="1" customWidth="1"/>
    <col min="7" max="7" width="9.7109375" style="11" bestFit="1" customWidth="1"/>
    <col min="8" max="8" width="9.28515625" style="11" customWidth="1"/>
    <col min="9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25">
      <c r="B4" s="48" t="s">
        <v>105</v>
      </c>
      <c r="C4" s="49"/>
      <c r="D4" s="49"/>
      <c r="E4" s="49"/>
      <c r="F4" s="49"/>
      <c r="G4" s="49"/>
      <c r="H4" s="49"/>
      <c r="I4" s="1"/>
    </row>
    <row r="5" spans="2:11" x14ac:dyDescent="0.25">
      <c r="B5" s="12" t="s">
        <v>102</v>
      </c>
      <c r="C5" s="12" t="s">
        <v>31</v>
      </c>
      <c r="D5" s="23">
        <v>0</v>
      </c>
      <c r="E5" s="43">
        <f>123.25*C17/C16</f>
        <v>124.14918753108937</v>
      </c>
      <c r="F5" s="42">
        <f>E5*C18/C17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25">
      <c r="B6" s="12" t="s">
        <v>103</v>
      </c>
      <c r="C6" s="12" t="s">
        <v>31</v>
      </c>
      <c r="D6" s="27">
        <f>36320.0422825098/1000</f>
        <v>36.320042282509796</v>
      </c>
      <c r="E6" s="42">
        <v>465.07</v>
      </c>
      <c r="F6" s="42">
        <v>728.17</v>
      </c>
      <c r="G6" s="42">
        <f>D6*E6</f>
        <v>16891.36206432683</v>
      </c>
      <c r="H6" s="42">
        <f>D6*F6</f>
        <v>26447.165188855157</v>
      </c>
      <c r="I6" s="11">
        <f>G6/Summary!$C$23</f>
        <v>0.45043751066092319</v>
      </c>
      <c r="J6" s="11">
        <f>H6/Summary!$C$23</f>
        <v>0.70525959992681631</v>
      </c>
    </row>
    <row r="7" spans="2:11" x14ac:dyDescent="0.25">
      <c r="B7" s="41" t="s">
        <v>106</v>
      </c>
      <c r="C7" s="12" t="s">
        <v>31</v>
      </c>
      <c r="D7" s="27">
        <f>36320.0422825098/1000</f>
        <v>36.320042282509796</v>
      </c>
      <c r="E7" s="42">
        <v>1313.2</v>
      </c>
      <c r="F7" s="42">
        <v>1366.03</v>
      </c>
      <c r="G7" s="42">
        <f>D7*E7</f>
        <v>47695.479525391864</v>
      </c>
      <c r="H7" s="42">
        <f>D7*F7</f>
        <v>49614.267359176854</v>
      </c>
      <c r="I7" s="11">
        <f>G7/Summary!$C$23</f>
        <v>1.2718828111895508</v>
      </c>
      <c r="J7" s="11">
        <f>H7/Summary!$C$23</f>
        <v>1.3230506218163738</v>
      </c>
    </row>
    <row r="8" spans="2:11" x14ac:dyDescent="0.25">
      <c r="B8" s="48" t="s">
        <v>107</v>
      </c>
      <c r="C8" s="49"/>
      <c r="D8" s="49"/>
      <c r="E8" s="49"/>
      <c r="F8" s="49"/>
      <c r="G8" s="49"/>
      <c r="H8" s="49"/>
    </row>
    <row r="9" spans="2:11" x14ac:dyDescent="0.25">
      <c r="B9" s="14" t="s">
        <v>24</v>
      </c>
      <c r="C9" s="14" t="s">
        <v>32</v>
      </c>
      <c r="D9" s="9">
        <f>198825004.077851/1000000</f>
        <v>198.82500407785099</v>
      </c>
      <c r="E9" s="40">
        <v>0.38</v>
      </c>
      <c r="F9" s="42">
        <f>E9*C18/C17</f>
        <v>0.51041975308641974</v>
      </c>
      <c r="G9" s="42">
        <f>D9*E9</f>
        <v>75.553501549583373</v>
      </c>
      <c r="H9" s="42">
        <f>D9*F9</f>
        <v>101.4842094888231</v>
      </c>
      <c r="I9" s="11">
        <f>G9/Summary!$C$23</f>
        <v>2.0147653593657554E-3</v>
      </c>
      <c r="J9" s="11">
        <f>H9/Summary!$C$23</f>
        <v>2.7062527296172123E-3</v>
      </c>
    </row>
    <row r="10" spans="2:11" x14ac:dyDescent="0.25">
      <c r="B10" s="14" t="s">
        <v>122</v>
      </c>
      <c r="C10" s="14" t="s">
        <v>31</v>
      </c>
      <c r="D10" s="9">
        <v>0</v>
      </c>
      <c r="E10" s="40">
        <v>67.83</v>
      </c>
      <c r="F10" s="42">
        <v>288.06</v>
      </c>
      <c r="G10" s="42">
        <f>D10*E10</f>
        <v>0</v>
      </c>
      <c r="H10" s="42">
        <f>D10*F10</f>
        <v>0</v>
      </c>
      <c r="I10" s="11">
        <f>G10/Summary!$C$23</f>
        <v>0</v>
      </c>
      <c r="J10" s="11">
        <f>H10/Summary!$C$23</f>
        <v>0</v>
      </c>
    </row>
    <row r="11" spans="2:11" x14ac:dyDescent="0.25">
      <c r="B11" s="14" t="s">
        <v>25</v>
      </c>
      <c r="C11" s="14" t="s">
        <v>33</v>
      </c>
      <c r="D11" s="31">
        <v>2467.5911550000001</v>
      </c>
      <c r="E11" s="40">
        <v>6.7830000000000001E-2</v>
      </c>
      <c r="F11" s="40">
        <v>8.5300000000000001E-2</v>
      </c>
      <c r="G11" s="42">
        <f>D11*E11</f>
        <v>167.37670804365001</v>
      </c>
      <c r="H11" s="42">
        <f>D11*F11</f>
        <v>210.48552552149999</v>
      </c>
      <c r="I11" s="11">
        <f>G11/Summary!$C$23</f>
        <v>4.4633906624395392E-3</v>
      </c>
      <c r="J11" s="11">
        <f>H11/Summary!$C$23</f>
        <v>5.6129621628496634E-3</v>
      </c>
    </row>
    <row r="12" spans="2:11" x14ac:dyDescent="0.25">
      <c r="B12" s="4" t="s">
        <v>110</v>
      </c>
      <c r="C12" s="18" t="s">
        <v>37</v>
      </c>
      <c r="D12" s="16"/>
      <c r="E12" s="16"/>
      <c r="F12" s="19"/>
      <c r="G12" s="19">
        <f>(G5+G6+G9+G10+G11)/1000000*8000</f>
        <v>137.07433819136051</v>
      </c>
      <c r="H12" s="19">
        <f>(H5+H6+H9+H10+H11)/1000000*8000</f>
        <v>214.07307939092385</v>
      </c>
    </row>
    <row r="13" spans="2:11" x14ac:dyDescent="0.25">
      <c r="B13" s="36" t="s">
        <v>111</v>
      </c>
      <c r="C13" s="18" t="s">
        <v>37</v>
      </c>
      <c r="D13" s="16"/>
      <c r="E13" s="16"/>
      <c r="F13" s="19"/>
      <c r="G13" s="19">
        <f>(G5+G7+G9+G10+G11)/1000000*8000</f>
        <v>383.5072778798808</v>
      </c>
      <c r="H13" s="19">
        <f>(H5+H7+H9+H10+H11)/1000000*8000</f>
        <v>399.40989675349743</v>
      </c>
    </row>
    <row r="14" spans="2:11" x14ac:dyDescent="0.25">
      <c r="B14" s="15"/>
      <c r="C14" s="15"/>
      <c r="D14" s="15"/>
      <c r="E14" s="15"/>
      <c r="F14" s="15"/>
      <c r="G14" s="15"/>
      <c r="H14" s="15"/>
    </row>
    <row r="15" spans="2:11" x14ac:dyDescent="0.25">
      <c r="B15" s="28" t="s">
        <v>86</v>
      </c>
      <c r="C15" s="15"/>
      <c r="D15" s="15"/>
      <c r="E15" s="15"/>
      <c r="F15" s="15"/>
      <c r="G15" s="15"/>
      <c r="H15" s="15"/>
      <c r="K15"/>
    </row>
    <row r="16" spans="2:11" x14ac:dyDescent="0.25">
      <c r="B16" s="14" t="s">
        <v>85</v>
      </c>
      <c r="C16" s="23">
        <v>603.1</v>
      </c>
    </row>
    <row r="17" spans="2:3" x14ac:dyDescent="0.25">
      <c r="B17" s="14" t="s">
        <v>35</v>
      </c>
      <c r="C17" s="21">
        <v>607.5</v>
      </c>
    </row>
    <row r="18" spans="2:3" x14ac:dyDescent="0.25">
      <c r="B18" s="24" t="s">
        <v>93</v>
      </c>
      <c r="C18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1"/>
  <sheetViews>
    <sheetView tabSelected="1" zoomScaleNormal="100" workbookViewId="0">
      <selection activeCell="F26" sqref="F26:F31"/>
    </sheetView>
  </sheetViews>
  <sheetFormatPr defaultRowHeight="15" x14ac:dyDescent="0.25"/>
  <cols>
    <col min="2" max="2" width="38.5703125" bestFit="1" customWidth="1"/>
    <col min="3" max="3" width="12.140625" bestFit="1" customWidth="1"/>
    <col min="5" max="5" width="36.5703125" bestFit="1" customWidth="1"/>
    <col min="6" max="6" width="12.5703125" bestFit="1" customWidth="1"/>
    <col min="8" max="8" width="36.5703125" bestFit="1" customWidth="1"/>
    <col min="9" max="9" width="12.140625" bestFit="1" customWidth="1"/>
    <col min="11" max="11" width="36.5703125" bestFit="1" customWidth="1"/>
    <col min="12" max="12" width="12.5703125" bestFit="1" customWidth="1"/>
  </cols>
  <sheetData>
    <row r="2" spans="2:12" x14ac:dyDescent="0.25">
      <c r="B2" s="54" t="s">
        <v>100</v>
      </c>
      <c r="C2" s="54"/>
      <c r="E2" s="54" t="s">
        <v>101</v>
      </c>
      <c r="F2" s="54"/>
      <c r="H2" s="54" t="s">
        <v>112</v>
      </c>
      <c r="I2" s="54"/>
      <c r="K2" s="54" t="s">
        <v>113</v>
      </c>
      <c r="L2" s="54"/>
    </row>
    <row r="3" spans="2:12" x14ac:dyDescent="0.25">
      <c r="B3" s="10" t="s">
        <v>62</v>
      </c>
      <c r="C3" s="21">
        <f>SUM(CAPEX!B29)</f>
        <v>8.3802057378751886</v>
      </c>
      <c r="E3" s="10" t="s">
        <v>95</v>
      </c>
      <c r="F3" s="21">
        <f>CAPEX!B30</f>
        <v>11.256375114578029</v>
      </c>
      <c r="H3" s="10" t="s">
        <v>62</v>
      </c>
      <c r="I3" s="21">
        <f t="shared" ref="I3:I18" si="0">C3</f>
        <v>8.3802057378751886</v>
      </c>
      <c r="K3" s="10" t="s">
        <v>95</v>
      </c>
      <c r="L3" s="21">
        <f t="shared" ref="L3:L18" si="1">F3</f>
        <v>11.256375114578029</v>
      </c>
    </row>
    <row r="4" spans="2:12" x14ac:dyDescent="0.25">
      <c r="B4" s="26" t="s">
        <v>54</v>
      </c>
      <c r="C4" s="21">
        <f>SUM(CAPEX!B33)</f>
        <v>31.341969459653214</v>
      </c>
      <c r="E4" s="26" t="s">
        <v>54</v>
      </c>
      <c r="F4" s="21">
        <f>CAPEX!C33</f>
        <v>42.098842928521833</v>
      </c>
      <c r="H4" s="26" t="s">
        <v>54</v>
      </c>
      <c r="I4" s="21">
        <f t="shared" si="0"/>
        <v>31.341969459653214</v>
      </c>
      <c r="K4" s="26" t="s">
        <v>54</v>
      </c>
      <c r="L4" s="21">
        <f t="shared" si="1"/>
        <v>42.098842928521833</v>
      </c>
    </row>
    <row r="5" spans="2:12" x14ac:dyDescent="0.25">
      <c r="B5" s="26" t="s">
        <v>55</v>
      </c>
      <c r="C5" s="21">
        <f>SUM(CAPEX!B34)</f>
        <v>9.4025908378959642</v>
      </c>
      <c r="E5" s="26" t="s">
        <v>55</v>
      </c>
      <c r="F5" s="21">
        <f>CAPEX!C34</f>
        <v>12.62965287855655</v>
      </c>
      <c r="H5" s="26" t="s">
        <v>55</v>
      </c>
      <c r="I5" s="21">
        <f t="shared" si="0"/>
        <v>9.4025908378959642</v>
      </c>
      <c r="K5" s="26" t="s">
        <v>55</v>
      </c>
      <c r="L5" s="21">
        <f t="shared" si="1"/>
        <v>12.62965287855655</v>
      </c>
    </row>
    <row r="6" spans="2:12" x14ac:dyDescent="0.25">
      <c r="B6" s="26" t="s">
        <v>76</v>
      </c>
      <c r="C6" s="21">
        <f>SUM(CAPEX!B35)</f>
        <v>12.223368089264753</v>
      </c>
      <c r="E6" s="26" t="s">
        <v>76</v>
      </c>
      <c r="F6" s="21">
        <f>CAPEX!C35</f>
        <v>16.418548742123512</v>
      </c>
      <c r="H6" s="26" t="s">
        <v>76</v>
      </c>
      <c r="I6" s="21">
        <f t="shared" si="0"/>
        <v>12.223368089264753</v>
      </c>
      <c r="K6" s="26" t="s">
        <v>76</v>
      </c>
      <c r="L6" s="21">
        <f t="shared" si="1"/>
        <v>16.418548742123512</v>
      </c>
    </row>
    <row r="7" spans="2:12" x14ac:dyDescent="0.25">
      <c r="B7" s="26" t="s">
        <v>57</v>
      </c>
      <c r="C7" s="21">
        <f>SUM(CAPEX!B36)</f>
        <v>4.0744560297549182</v>
      </c>
      <c r="E7" s="26" t="s">
        <v>57</v>
      </c>
      <c r="F7" s="21">
        <f>CAPEX!C36</f>
        <v>5.4728495807078383</v>
      </c>
      <c r="H7" s="26" t="s">
        <v>57</v>
      </c>
      <c r="I7" s="21">
        <f t="shared" si="0"/>
        <v>4.0744560297549182</v>
      </c>
      <c r="K7" s="26" t="s">
        <v>57</v>
      </c>
      <c r="L7" s="21">
        <f t="shared" si="1"/>
        <v>5.4728495807078383</v>
      </c>
    </row>
    <row r="8" spans="2:12" x14ac:dyDescent="0.25">
      <c r="B8" s="26" t="s">
        <v>58</v>
      </c>
      <c r="C8" s="21">
        <f>SUM(CAPEX!B37)</f>
        <v>57.042384416568858</v>
      </c>
      <c r="E8" s="26" t="s">
        <v>58</v>
      </c>
      <c r="F8" s="21">
        <f>CAPEX!C37</f>
        <v>76.619894129909738</v>
      </c>
      <c r="H8" s="26" t="s">
        <v>58</v>
      </c>
      <c r="I8" s="21">
        <f t="shared" si="0"/>
        <v>57.042384416568858</v>
      </c>
      <c r="K8" s="26" t="s">
        <v>58</v>
      </c>
      <c r="L8" s="21">
        <f t="shared" si="1"/>
        <v>76.619894129909738</v>
      </c>
    </row>
    <row r="9" spans="2:12" x14ac:dyDescent="0.25">
      <c r="B9" s="26" t="s">
        <v>61</v>
      </c>
      <c r="C9" s="21">
        <f>SUM(CAPEX!B38)</f>
        <v>8.556357662485329</v>
      </c>
      <c r="E9" s="26" t="s">
        <v>61</v>
      </c>
      <c r="F9" s="21">
        <f>CAPEX!C38</f>
        <v>11.49298411948646</v>
      </c>
      <c r="H9" s="26" t="s">
        <v>61</v>
      </c>
      <c r="I9" s="21">
        <f t="shared" si="0"/>
        <v>8.556357662485329</v>
      </c>
      <c r="K9" s="26" t="s">
        <v>61</v>
      </c>
      <c r="L9" s="21">
        <f t="shared" si="1"/>
        <v>11.49298411948646</v>
      </c>
    </row>
    <row r="10" spans="2:12" x14ac:dyDescent="0.25">
      <c r="B10" s="10" t="s">
        <v>59</v>
      </c>
      <c r="C10" s="21">
        <f>SUM(CAPEX!B39)</f>
        <v>65.59874207905419</v>
      </c>
      <c r="E10" s="10" t="s">
        <v>59</v>
      </c>
      <c r="F10" s="21">
        <f>CAPEX!C39</f>
        <v>88.112878249396204</v>
      </c>
      <c r="H10" s="10" t="s">
        <v>59</v>
      </c>
      <c r="I10" s="21">
        <f t="shared" si="0"/>
        <v>65.59874207905419</v>
      </c>
      <c r="K10" s="10" t="s">
        <v>59</v>
      </c>
      <c r="L10" s="21">
        <f t="shared" si="1"/>
        <v>88.112878249396204</v>
      </c>
    </row>
    <row r="11" spans="2:12" x14ac:dyDescent="0.25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25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25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25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25">
      <c r="B15" s="10" t="s">
        <v>26</v>
      </c>
      <c r="C15" s="21">
        <f>SUM(CAPEX!B40)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25">
      <c r="B16" s="10" t="s">
        <v>27</v>
      </c>
      <c r="C16" s="21">
        <f>SUM(CAPEX!B41)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25">
      <c r="B17" s="10" t="s">
        <v>28</v>
      </c>
      <c r="C17" s="20">
        <f>SUM(CAPEX!B42)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25">
      <c r="B18" s="13" t="s">
        <v>36</v>
      </c>
      <c r="C18" s="17">
        <f>SUM(CAPEX!B44)</f>
        <v>8.3638376346210936</v>
      </c>
      <c r="E18" s="13" t="s">
        <v>36</v>
      </c>
      <c r="F18" s="17">
        <f>CAPEX!C44</f>
        <v>11.234389316626846</v>
      </c>
      <c r="H18" s="13" t="s">
        <v>36</v>
      </c>
      <c r="I18" s="17">
        <f t="shared" si="0"/>
        <v>8.3638376346210936</v>
      </c>
      <c r="K18" s="13" t="s">
        <v>36</v>
      </c>
      <c r="L18" s="17">
        <f t="shared" si="1"/>
        <v>11.234389316626846</v>
      </c>
    </row>
    <row r="19" spans="2:12" x14ac:dyDescent="0.25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25">
      <c r="B20" s="13" t="s">
        <v>88</v>
      </c>
      <c r="C20" s="17">
        <f>OPEX!G12</f>
        <v>137.07433819136051</v>
      </c>
      <c r="E20" s="13" t="s">
        <v>88</v>
      </c>
      <c r="F20" s="17">
        <f>OPEX!H12</f>
        <v>214.07307939092385</v>
      </c>
      <c r="H20" s="13" t="s">
        <v>88</v>
      </c>
      <c r="I20" s="17">
        <f>OPEX!G13</f>
        <v>383.5072778798808</v>
      </c>
      <c r="K20" s="13" t="s">
        <v>88</v>
      </c>
      <c r="L20" s="17">
        <f>OPEX!H13</f>
        <v>399.40989675349743</v>
      </c>
    </row>
    <row r="21" spans="2:12" x14ac:dyDescent="0.25">
      <c r="B21" s="13" t="s">
        <v>98</v>
      </c>
      <c r="C21" s="17">
        <f>(C18+C19+C20)</f>
        <v>145.4381758259816</v>
      </c>
      <c r="E21" s="13" t="s">
        <v>98</v>
      </c>
      <c r="F21" s="17">
        <f>(F18+F19+F20)</f>
        <v>225.3074687075507</v>
      </c>
      <c r="H21" s="13" t="s">
        <v>98</v>
      </c>
      <c r="I21" s="17">
        <f>(I18+I19+I20)</f>
        <v>391.87111551450192</v>
      </c>
      <c r="K21" s="13" t="s">
        <v>98</v>
      </c>
      <c r="L21" s="17">
        <f>(L18+L19+L20)</f>
        <v>410.64428607012428</v>
      </c>
    </row>
    <row r="22" spans="2:12" x14ac:dyDescent="0.25">
      <c r="B22" s="13" t="s">
        <v>97</v>
      </c>
      <c r="C22" s="17">
        <f>(C21)*1000000/8000</f>
        <v>18179.771978247703</v>
      </c>
      <c r="E22" s="13" t="s">
        <v>97</v>
      </c>
      <c r="F22" s="17">
        <f>(F21)*1000000/8000</f>
        <v>28163.433588443837</v>
      </c>
      <c r="H22" s="13" t="s">
        <v>97</v>
      </c>
      <c r="I22" s="17">
        <f>(I21)*1000000/8000</f>
        <v>48983.889439312741</v>
      </c>
      <c r="K22" s="13" t="s">
        <v>97</v>
      </c>
      <c r="L22" s="17">
        <f>(L21)*1000000/8000</f>
        <v>51330.535758765531</v>
      </c>
    </row>
    <row r="23" spans="2:12" x14ac:dyDescent="0.25">
      <c r="B23" s="28" t="s">
        <v>96</v>
      </c>
      <c r="C23" s="17">
        <v>37499.901017440301</v>
      </c>
      <c r="E23" s="28" t="s">
        <v>96</v>
      </c>
      <c r="F23" s="17">
        <f>C23</f>
        <v>37499.901017440301</v>
      </c>
      <c r="H23" s="28" t="s">
        <v>96</v>
      </c>
      <c r="I23" s="17">
        <f>F23</f>
        <v>37499.901017440301</v>
      </c>
      <c r="K23" s="28" t="s">
        <v>96</v>
      </c>
      <c r="L23" s="17">
        <f>I23</f>
        <v>37499.901017440301</v>
      </c>
    </row>
    <row r="24" spans="2:12" x14ac:dyDescent="0.25">
      <c r="B24" s="30" t="s">
        <v>114</v>
      </c>
      <c r="C24" s="45">
        <f>C22/C23</f>
        <v>0.48479519905379825</v>
      </c>
      <c r="E24" s="30" t="s">
        <v>114</v>
      </c>
      <c r="F24" s="45">
        <f>F22/F23</f>
        <v>0.75102687805351009</v>
      </c>
      <c r="H24" s="30" t="s">
        <v>114</v>
      </c>
      <c r="I24" s="45">
        <f>I22/I23</f>
        <v>1.3062404995824259</v>
      </c>
      <c r="K24" s="30" t="s">
        <v>114</v>
      </c>
      <c r="L24" s="45">
        <f>L22/L23</f>
        <v>1.3688178999430674</v>
      </c>
    </row>
    <row r="26" spans="2:12" x14ac:dyDescent="0.25">
      <c r="F26" s="55">
        <f>OPEX!H6/Summary!F23</f>
        <v>0.70525959992681631</v>
      </c>
      <c r="I26">
        <f>I18*10^6/8000/I23</f>
        <v>2.7879532371069705E-2</v>
      </c>
      <c r="L26">
        <f>L18*10^6/8000/L23</f>
        <v>3.744806323422694E-2</v>
      </c>
    </row>
    <row r="27" spans="2:12" x14ac:dyDescent="0.25">
      <c r="F27" s="55">
        <f>OPEX!H7/Summary!F23</f>
        <v>1.3230506218163738</v>
      </c>
    </row>
    <row r="28" spans="2:12" x14ac:dyDescent="0.25">
      <c r="F28" s="55">
        <f>OPEX!H9/Summary!F23</f>
        <v>2.7062527296172123E-3</v>
      </c>
    </row>
    <row r="29" spans="2:12" x14ac:dyDescent="0.25">
      <c r="F29" s="55">
        <f>OPEX!H10/Summary!F23</f>
        <v>0</v>
      </c>
    </row>
    <row r="30" spans="2:12" x14ac:dyDescent="0.25">
      <c r="F30" s="55">
        <f>OPEX!H11/Summary!F23</f>
        <v>5.6129621628496634E-3</v>
      </c>
    </row>
    <row r="31" spans="2:12" x14ac:dyDescent="0.25">
      <c r="F31" s="55">
        <f>F18*10^6/8000/F23</f>
        <v>3.744806323422694E-2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2025-01-06T09:07:40Z</dcterms:modified>
</cp:coreProperties>
</file>