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results\"/>
    </mc:Choice>
  </mc:AlternateContent>
  <xr:revisionPtr revIDLastSave="0" documentId="13_ncr:1_{B7C88F17-7414-4EB0-80E2-69142BB4699B}" xr6:coauthVersionLast="36" xr6:coauthVersionMax="47" xr10:uidLastSave="{00000000-0000-0000-0000-000000000000}"/>
  <bookViews>
    <workbookView xWindow="0" yWindow="495" windowWidth="28800" windowHeight="17505" activeTab="1" xr2:uid="{00000000-000D-0000-FFFF-FFFF00000000}"/>
  </bookViews>
  <sheets>
    <sheet name="climate_change" sheetId="14" r:id="rId1"/>
    <sheet name="economics" sheetId="1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4" l="1"/>
  <c r="F7" i="14"/>
  <c r="H7" i="14"/>
  <c r="E7" i="14"/>
  <c r="D7" i="14"/>
  <c r="H6" i="14"/>
  <c r="E6" i="14"/>
  <c r="D6" i="14"/>
  <c r="F5" i="14"/>
  <c r="E5" i="14"/>
  <c r="D5" i="14"/>
  <c r="H7" i="15" l="1"/>
  <c r="G7" i="15"/>
  <c r="F7" i="15"/>
  <c r="E7" i="15"/>
  <c r="D7" i="15"/>
  <c r="H6" i="15"/>
  <c r="G6" i="15"/>
  <c r="F6" i="15"/>
  <c r="E6" i="15"/>
  <c r="I6" i="15" s="1"/>
  <c r="D6" i="15"/>
  <c r="I7" i="15"/>
  <c r="H5" i="15"/>
  <c r="G5" i="15"/>
  <c r="F5" i="15"/>
  <c r="E5" i="15"/>
  <c r="D5" i="15"/>
  <c r="I5" i="15" s="1"/>
  <c r="I4" i="15"/>
  <c r="I3" i="15"/>
  <c r="A3" i="15"/>
  <c r="A4" i="15" s="1"/>
  <c r="A5" i="15" s="1"/>
  <c r="A6" i="15" s="1"/>
  <c r="A7" i="15" s="1"/>
  <c r="I2" i="15"/>
  <c r="I7" i="14" l="1"/>
  <c r="I6" i="14"/>
  <c r="I4" i="14"/>
  <c r="I3" i="14"/>
  <c r="A3" i="14" l="1"/>
  <c r="A4" i="14" s="1"/>
  <c r="A5" i="14" s="1"/>
  <c r="A6" i="14" s="1"/>
  <c r="A7" i="14" s="1"/>
  <c r="I2" i="14" l="1"/>
  <c r="H5" i="14"/>
  <c r="I5" i="14"/>
</calcChain>
</file>

<file path=xl/sharedStrings.xml><?xml version="1.0" encoding="utf-8"?>
<sst xmlns="http://schemas.openxmlformats.org/spreadsheetml/2006/main" count="28" uniqueCount="11">
  <si>
    <t>Electricity</t>
  </si>
  <si>
    <t>Total</t>
  </si>
  <si>
    <t>Heating utilities</t>
  </si>
  <si>
    <t>BAU</t>
  </si>
  <si>
    <t>Direct emissions</t>
  </si>
  <si>
    <t>Scenario</t>
  </si>
  <si>
    <t>CAPEX</t>
  </si>
  <si>
    <t>Cooling utilities</t>
  </si>
  <si>
    <t>Ammonia</t>
  </si>
  <si>
    <t>AON 84%</t>
  </si>
  <si>
    <t>AON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</si>
</sst>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7EC0-0273-470A-BF1C-FDFDD2F0E9BF}">
  <dimension ref="A1:I15"/>
  <sheetViews>
    <sheetView zoomScale="115" zoomScaleNormal="115" workbookViewId="0">
      <selection activeCell="A3" sqref="A3"/>
    </sheetView>
  </sheetViews>
  <sheetFormatPr defaultColWidth="8.85546875" defaultRowHeight="15" x14ac:dyDescent="0.25"/>
  <cols>
    <col min="1" max="1" width="2.28515625" bestFit="1" customWidth="1"/>
    <col min="2" max="2" width="15" bestFit="1" customWidth="1"/>
    <col min="3" max="3" width="15.7109375" bestFit="1" customWidth="1"/>
    <col min="4" max="4" width="9.7109375" bestFit="1" customWidth="1"/>
    <col min="5" max="5" width="15.28515625" bestFit="1" customWidth="1"/>
    <col min="6" max="6" width="15.140625" bestFit="1" customWidth="1"/>
    <col min="7" max="7" width="7.42578125" bestFit="1" customWidth="1"/>
    <col min="8" max="8" width="15.7109375" bestFit="1" customWidth="1"/>
  </cols>
  <sheetData>
    <row r="1" spans="1:9" x14ac:dyDescent="0.25">
      <c r="B1" s="1" t="s">
        <v>5</v>
      </c>
      <c r="C1" s="1" t="s">
        <v>8</v>
      </c>
      <c r="D1" s="1" t="s">
        <v>0</v>
      </c>
      <c r="E1" s="1" t="s">
        <v>2</v>
      </c>
      <c r="F1" s="1" t="s">
        <v>7</v>
      </c>
      <c r="G1" s="1" t="s">
        <v>6</v>
      </c>
      <c r="H1" s="1" t="s">
        <v>4</v>
      </c>
      <c r="I1" s="3" t="s">
        <v>1</v>
      </c>
    </row>
    <row r="2" spans="1:9" x14ac:dyDescent="0.25">
      <c r="A2" s="2">
        <v>0</v>
      </c>
      <c r="B2" s="1" t="s">
        <v>3</v>
      </c>
      <c r="C2" s="4">
        <v>3.0433671996752092</v>
      </c>
      <c r="D2" s="4">
        <v>0.37149029531469813</v>
      </c>
      <c r="E2" s="4">
        <v>2.0038875775622401E-2</v>
      </c>
      <c r="F2" s="4">
        <v>5.4826202806876733E-3</v>
      </c>
      <c r="G2" s="4">
        <v>0</v>
      </c>
      <c r="H2" s="4">
        <v>-2.5302957062933729E-8</v>
      </c>
      <c r="I2" s="4">
        <f>SUM(C2:H2)</f>
        <v>3.44037896574326</v>
      </c>
    </row>
    <row r="3" spans="1:9" x14ac:dyDescent="0.25">
      <c r="A3" s="2">
        <f>A2+1</f>
        <v>1</v>
      </c>
      <c r="B3" s="1" t="s">
        <v>9</v>
      </c>
      <c r="C3" s="4">
        <v>3.2956202497676919</v>
      </c>
      <c r="D3" s="5">
        <v>4.4662312429655501E-2</v>
      </c>
      <c r="E3" s="5">
        <v>0</v>
      </c>
      <c r="F3" s="5">
        <v>2.6692914462502918E-3</v>
      </c>
      <c r="G3" s="5">
        <v>0</v>
      </c>
      <c r="H3" s="4">
        <v>5.1421439994925322E-8</v>
      </c>
      <c r="I3" s="4">
        <f>SUM(C3:H3)</f>
        <v>3.3429519050650378</v>
      </c>
    </row>
    <row r="4" spans="1:9" x14ac:dyDescent="0.25">
      <c r="A4" s="2">
        <f>A3+1</f>
        <v>2</v>
      </c>
      <c r="B4" s="1" t="s">
        <v>10</v>
      </c>
      <c r="C4" s="4">
        <v>2.784792321693434</v>
      </c>
      <c r="D4" s="5">
        <v>3.4123146458010879E-2</v>
      </c>
      <c r="E4" s="5">
        <v>0</v>
      </c>
      <c r="F4" s="5">
        <v>2.2762815376119626E-3</v>
      </c>
      <c r="G4" s="5">
        <v>0</v>
      </c>
      <c r="H4" s="4">
        <v>0</v>
      </c>
      <c r="I4" s="4">
        <f>SUM(C4:H4)</f>
        <v>2.8211917496890568</v>
      </c>
    </row>
    <row r="5" spans="1:9" x14ac:dyDescent="0.25">
      <c r="A5" s="2">
        <f t="shared" ref="A5:A7" si="0">A4+1</f>
        <v>3</v>
      </c>
      <c r="B5" s="1" t="s">
        <v>3</v>
      </c>
      <c r="C5" s="6">
        <v>0.72801465961906098</v>
      </c>
      <c r="D5" s="4">
        <f>D2</f>
        <v>0.37149029531469813</v>
      </c>
      <c r="E5" s="4">
        <f>E2</f>
        <v>2.0038875775622401E-2</v>
      </c>
      <c r="F5" s="4">
        <f>F2</f>
        <v>5.4826202806876733E-3</v>
      </c>
      <c r="G5" s="4">
        <v>0</v>
      </c>
      <c r="H5" s="4">
        <f>H2</f>
        <v>-2.5302957062933729E-8</v>
      </c>
      <c r="I5" s="4">
        <f>SUM(C5:H5)</f>
        <v>1.1250264256871123</v>
      </c>
    </row>
    <row r="6" spans="1:9" x14ac:dyDescent="0.25">
      <c r="A6" s="2">
        <f t="shared" si="0"/>
        <v>4</v>
      </c>
      <c r="B6" s="1" t="s">
        <v>9</v>
      </c>
      <c r="C6" s="4">
        <v>0.78835700622138605</v>
      </c>
      <c r="D6" s="4">
        <f>D3</f>
        <v>4.4662312429655501E-2</v>
      </c>
      <c r="E6" s="4">
        <f>E3</f>
        <v>0</v>
      </c>
      <c r="F6" s="4">
        <f>F3</f>
        <v>2.6692914462502918E-3</v>
      </c>
      <c r="G6" s="4">
        <v>0</v>
      </c>
      <c r="H6" s="4">
        <f>H3</f>
        <v>5.1421439994925322E-8</v>
      </c>
      <c r="I6" s="4">
        <f>SUM(C6:H6)</f>
        <v>0.83568866151873178</v>
      </c>
    </row>
    <row r="7" spans="1:9" x14ac:dyDescent="0.25">
      <c r="A7" s="2">
        <f t="shared" si="0"/>
        <v>5</v>
      </c>
      <c r="B7" s="1" t="s">
        <v>10</v>
      </c>
      <c r="C7" s="4">
        <v>0.66616004615012625</v>
      </c>
      <c r="D7" s="4">
        <f>D4</f>
        <v>3.4123146458010879E-2</v>
      </c>
      <c r="E7" s="4">
        <f>E4</f>
        <v>0</v>
      </c>
      <c r="F7" s="4">
        <f>F4</f>
        <v>2.2762815376119626E-3</v>
      </c>
      <c r="G7" s="4">
        <v>0</v>
      </c>
      <c r="H7" s="4">
        <f>H4</f>
        <v>0</v>
      </c>
      <c r="I7" s="4">
        <f>SUM(C7:H7)</f>
        <v>0.70255947414574904</v>
      </c>
    </row>
    <row r="11" spans="1:9" x14ac:dyDescent="0.25">
      <c r="C11" s="6"/>
    </row>
    <row r="12" spans="1:9" x14ac:dyDescent="0.25">
      <c r="C12" s="6"/>
    </row>
    <row r="13" spans="1:9" x14ac:dyDescent="0.25">
      <c r="C13" s="6"/>
    </row>
    <row r="14" spans="1:9" x14ac:dyDescent="0.25">
      <c r="C14" s="6"/>
    </row>
    <row r="15" spans="1:9" x14ac:dyDescent="0.25">
      <c r="C1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B293-21A4-490E-8B90-BF3EE8D79D2C}">
  <dimension ref="A1:I7"/>
  <sheetViews>
    <sheetView tabSelected="1" zoomScale="115" zoomScaleNormal="115" workbookViewId="0">
      <selection activeCell="D11" sqref="D11"/>
    </sheetView>
  </sheetViews>
  <sheetFormatPr defaultColWidth="8.85546875" defaultRowHeight="15" x14ac:dyDescent="0.25"/>
  <cols>
    <col min="1" max="1" width="2.28515625" bestFit="1" customWidth="1"/>
    <col min="2" max="2" width="10.42578125" bestFit="1" customWidth="1"/>
    <col min="3" max="3" width="9.5703125" bestFit="1" customWidth="1"/>
    <col min="4" max="4" width="9.7109375" bestFit="1" customWidth="1"/>
    <col min="5" max="5" width="15.28515625" bestFit="1" customWidth="1"/>
    <col min="6" max="6" width="15.140625" bestFit="1" customWidth="1"/>
    <col min="7" max="7" width="6.7109375" bestFit="1" customWidth="1"/>
    <col min="8" max="8" width="15.7109375" bestFit="1" customWidth="1"/>
    <col min="9" max="9" width="6.7109375" bestFit="1" customWidth="1"/>
  </cols>
  <sheetData>
    <row r="1" spans="1:9" x14ac:dyDescent="0.25">
      <c r="B1" s="1" t="s">
        <v>5</v>
      </c>
      <c r="C1" s="1" t="s">
        <v>8</v>
      </c>
      <c r="D1" s="1" t="s">
        <v>0</v>
      </c>
      <c r="E1" s="1" t="s">
        <v>2</v>
      </c>
      <c r="F1" s="1" t="s">
        <v>7</v>
      </c>
      <c r="G1" s="1" t="s">
        <v>6</v>
      </c>
      <c r="H1" s="1" t="s">
        <v>4</v>
      </c>
      <c r="I1" s="3" t="s">
        <v>1</v>
      </c>
    </row>
    <row r="2" spans="1:9" x14ac:dyDescent="0.25">
      <c r="A2" s="2">
        <v>0</v>
      </c>
      <c r="B2" s="1" t="s">
        <v>3</v>
      </c>
      <c r="C2" s="4">
        <v>0.65127768705287892</v>
      </c>
      <c r="D2" s="4">
        <v>4.6687259526730654E-2</v>
      </c>
      <c r="E2" s="4">
        <v>1.7172635299031714E-3</v>
      </c>
      <c r="F2" s="4">
        <v>2.1329050231486523E-3</v>
      </c>
      <c r="G2" s="4">
        <v>0.13951302177365515</v>
      </c>
      <c r="H2" s="4">
        <v>0</v>
      </c>
      <c r="I2" s="4">
        <f>SUM(C2:H2)</f>
        <v>0.84132813690631658</v>
      </c>
    </row>
    <row r="3" spans="1:9" x14ac:dyDescent="0.25">
      <c r="A3" s="2">
        <f>A2+1</f>
        <v>1</v>
      </c>
      <c r="B3" s="1" t="s">
        <v>9</v>
      </c>
      <c r="C3" s="4">
        <v>0.70525959992681631</v>
      </c>
      <c r="D3" s="5">
        <v>5.6129621628496634E-3</v>
      </c>
      <c r="E3" s="5">
        <v>0</v>
      </c>
      <c r="F3" s="5">
        <v>2.7062527296172123E-3</v>
      </c>
      <c r="G3" s="5">
        <v>3.744806323422694E-2</v>
      </c>
      <c r="H3" s="4">
        <v>0</v>
      </c>
      <c r="I3" s="4">
        <f>SUM(C3:H3)</f>
        <v>0.75102687805351009</v>
      </c>
    </row>
    <row r="4" spans="1:9" x14ac:dyDescent="0.25">
      <c r="A4" s="2">
        <f>A3+1</f>
        <v>2</v>
      </c>
      <c r="B4" s="1" t="s">
        <v>10</v>
      </c>
      <c r="C4" s="4">
        <v>0.59594290902151548</v>
      </c>
      <c r="D4" s="5">
        <v>4.2884463326403272E-3</v>
      </c>
      <c r="E4" s="5">
        <v>0</v>
      </c>
      <c r="F4" s="5">
        <v>2.307649105972435E-3</v>
      </c>
      <c r="G4" s="5">
        <v>3.2696428542355264E-2</v>
      </c>
      <c r="H4" s="4">
        <v>0</v>
      </c>
      <c r="I4" s="4">
        <f>SUM(C4:H4)</f>
        <v>0.63523543300248353</v>
      </c>
    </row>
    <row r="5" spans="1:9" x14ac:dyDescent="0.25">
      <c r="A5" s="2">
        <f t="shared" ref="A5:A7" si="0">A4+1</f>
        <v>3</v>
      </c>
      <c r="B5" s="1" t="s">
        <v>3</v>
      </c>
      <c r="C5" s="6">
        <v>1.2217818076065263</v>
      </c>
      <c r="D5" s="4">
        <f>D2</f>
        <v>4.6687259526730654E-2</v>
      </c>
      <c r="E5" s="4">
        <f>E2</f>
        <v>1.7172635299031714E-3</v>
      </c>
      <c r="F5" s="4">
        <f>F2</f>
        <v>2.1329050231486523E-3</v>
      </c>
      <c r="G5" s="4">
        <f>G2</f>
        <v>0.13951302177365515</v>
      </c>
      <c r="H5" s="4">
        <f>H2</f>
        <v>0</v>
      </c>
      <c r="I5" s="4">
        <f>SUM(C5:H5)</f>
        <v>1.411832257459964</v>
      </c>
    </row>
    <row r="6" spans="1:9" x14ac:dyDescent="0.25">
      <c r="A6" s="2">
        <f t="shared" si="0"/>
        <v>4</v>
      </c>
      <c r="B6" s="1" t="s">
        <v>9</v>
      </c>
      <c r="C6" s="4">
        <v>1.3230506218163738</v>
      </c>
      <c r="D6" s="4">
        <f>D3</f>
        <v>5.6129621628496634E-3</v>
      </c>
      <c r="E6" s="4">
        <f>E3</f>
        <v>0</v>
      </c>
      <c r="F6" s="4">
        <f>F3</f>
        <v>2.7062527296172123E-3</v>
      </c>
      <c r="G6" s="4">
        <f>G3</f>
        <v>3.744806323422694E-2</v>
      </c>
      <c r="H6" s="4">
        <f>H3</f>
        <v>0</v>
      </c>
      <c r="I6" s="4">
        <f>SUM(C6:H6)</f>
        <v>1.3688178999430674</v>
      </c>
    </row>
    <row r="7" spans="1:9" x14ac:dyDescent="0.25">
      <c r="A7" s="2">
        <f t="shared" si="0"/>
        <v>5</v>
      </c>
      <c r="B7" s="1" t="s">
        <v>10</v>
      </c>
      <c r="C7" s="4">
        <v>1.1179750497969718</v>
      </c>
      <c r="D7" s="4">
        <f>D4</f>
        <v>4.2884463326403272E-3</v>
      </c>
      <c r="E7" s="4">
        <f>E4</f>
        <v>0</v>
      </c>
      <c r="F7" s="4">
        <f>F4</f>
        <v>2.307649105972435E-3</v>
      </c>
      <c r="G7" s="4">
        <f>G4</f>
        <v>3.2696428542355264E-2</v>
      </c>
      <c r="H7" s="4">
        <f>H4</f>
        <v>0</v>
      </c>
      <c r="I7" s="4">
        <f>SUM(C7:H7)</f>
        <v>1.1572675737779397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climate_change</vt:lpstr>
      <vt:lpstr>economics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2025-01-06T09:11:36Z</dcterms:modified>
</cp:coreProperties>
</file>