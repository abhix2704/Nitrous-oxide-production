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E7F4CF81-4BAA-4D48-9933-4661EA6F75B6}" xr6:coauthVersionLast="36" xr6:coauthVersionMax="47" xr10:uidLastSave="{00000000-0000-0000-0000-000000000000}"/>
  <bookViews>
    <workbookView xWindow="0" yWindow="495" windowWidth="14370" windowHeight="8715" activeTab="6" xr2:uid="{00000000-000D-0000-FFFF-FFFF00000000}"/>
  </bookViews>
  <sheets>
    <sheet name="climate_change_per_kg" sheetId="15" r:id="rId1"/>
    <sheet name="climate_change_NS_per_kg" sheetId="19" r:id="rId2"/>
    <sheet name="climate_change_NS_per_kg_ideal" sheetId="23" r:id="rId3"/>
    <sheet name="climate_change_per_kmol" sheetId="14" r:id="rId4"/>
    <sheet name="economics_per_kg" sheetId="17" r:id="rId5"/>
    <sheet name="economics_NS_per_kg" sheetId="20" r:id="rId6"/>
    <sheet name="economics_NS_per_kg_ideal" sheetId="24" r:id="rId7"/>
    <sheet name="economics_per_kmol" sheetId="18" r:id="rId8"/>
    <sheet name="selectivity_sensitivity" sheetId="2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4" l="1"/>
  <c r="A4" i="24" s="1"/>
  <c r="A5" i="24" s="1"/>
  <c r="A6" i="24" s="1"/>
  <c r="A7" i="24" s="1"/>
  <c r="L5" i="24"/>
  <c r="L2" i="24"/>
  <c r="K7" i="24"/>
  <c r="J7" i="24"/>
  <c r="I7" i="24"/>
  <c r="H7" i="24"/>
  <c r="G7" i="24"/>
  <c r="F7" i="24"/>
  <c r="E7" i="24"/>
  <c r="C7" i="24"/>
  <c r="K6" i="24"/>
  <c r="J6" i="24"/>
  <c r="I6" i="24"/>
  <c r="H6" i="24"/>
  <c r="G6" i="24"/>
  <c r="F6" i="24"/>
  <c r="L4" i="24"/>
  <c r="L3" i="24"/>
  <c r="K5" i="23"/>
  <c r="J5" i="23"/>
  <c r="I5" i="23"/>
  <c r="H5" i="23"/>
  <c r="G5" i="23"/>
  <c r="I2" i="23"/>
  <c r="L2" i="23"/>
  <c r="A7" i="23"/>
  <c r="A6" i="23"/>
  <c r="A5" i="23"/>
  <c r="A4" i="23"/>
  <c r="A3" i="23"/>
  <c r="L7" i="23"/>
  <c r="K7" i="23"/>
  <c r="J7" i="23"/>
  <c r="I7" i="23"/>
  <c r="H7" i="23"/>
  <c r="G7" i="23"/>
  <c r="F7" i="23"/>
  <c r="E7" i="23"/>
  <c r="C7" i="23"/>
  <c r="K6" i="23"/>
  <c r="J6" i="23"/>
  <c r="I6" i="23"/>
  <c r="H6" i="23"/>
  <c r="G6" i="23"/>
  <c r="F6" i="23"/>
  <c r="L6" i="23" s="1"/>
  <c r="E6" i="23"/>
  <c r="D6" i="23"/>
  <c r="L4" i="23"/>
  <c r="L3" i="23"/>
  <c r="L7" i="24" l="1"/>
  <c r="L6" i="24"/>
  <c r="L5" i="23"/>
  <c r="I27" i="21"/>
  <c r="I28" i="21"/>
  <c r="I29" i="21"/>
  <c r="I30" i="21"/>
  <c r="I31" i="21"/>
  <c r="I32" i="21"/>
  <c r="I33" i="21"/>
  <c r="I34" i="21"/>
  <c r="I35" i="21"/>
  <c r="I36" i="21"/>
  <c r="I37" i="21"/>
  <c r="I26" i="21"/>
  <c r="H27" i="21"/>
  <c r="H28" i="21"/>
  <c r="H29" i="21"/>
  <c r="H30" i="21"/>
  <c r="H31" i="21"/>
  <c r="H32" i="21"/>
  <c r="H33" i="21"/>
  <c r="H34" i="21"/>
  <c r="H35" i="21"/>
  <c r="H36" i="21"/>
  <c r="H37" i="21"/>
  <c r="H26" i="21"/>
  <c r="C27" i="21"/>
  <c r="C28" i="21"/>
  <c r="C29" i="21"/>
  <c r="C30" i="21"/>
  <c r="C31" i="21"/>
  <c r="C32" i="21"/>
  <c r="C33" i="21"/>
  <c r="C34" i="21"/>
  <c r="C35" i="21"/>
  <c r="C36" i="21"/>
  <c r="C37" i="21"/>
  <c r="C26" i="21"/>
  <c r="B27" i="21"/>
  <c r="B28" i="21"/>
  <c r="B29" i="21"/>
  <c r="B30" i="21"/>
  <c r="B31" i="21"/>
  <c r="B32" i="21"/>
  <c r="B33" i="21"/>
  <c r="B34" i="21"/>
  <c r="B35" i="21"/>
  <c r="B36" i="21"/>
  <c r="B37" i="21"/>
  <c r="B26" i="21"/>
  <c r="I12" i="21"/>
  <c r="I13" i="21"/>
  <c r="I14" i="21"/>
  <c r="I15" i="21"/>
  <c r="I16" i="21"/>
  <c r="I17" i="21"/>
  <c r="I18" i="21"/>
  <c r="I19" i="21"/>
  <c r="I20" i="21"/>
  <c r="I21" i="21"/>
  <c r="I22" i="21"/>
  <c r="I11" i="21"/>
  <c r="H12" i="21"/>
  <c r="H13" i="21"/>
  <c r="H14" i="21"/>
  <c r="H15" i="21"/>
  <c r="H16" i="21"/>
  <c r="H17" i="21"/>
  <c r="H18" i="21"/>
  <c r="H19" i="21"/>
  <c r="H20" i="21"/>
  <c r="H21" i="21"/>
  <c r="H22" i="21"/>
  <c r="H11" i="21"/>
  <c r="C12" i="21"/>
  <c r="C13" i="21"/>
  <c r="C14" i="21"/>
  <c r="C15" i="21"/>
  <c r="C16" i="21"/>
  <c r="C17" i="21"/>
  <c r="C18" i="21"/>
  <c r="C19" i="21"/>
  <c r="C20" i="21"/>
  <c r="C21" i="21"/>
  <c r="C22" i="21"/>
  <c r="C11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I7" i="21"/>
  <c r="C7" i="21"/>
  <c r="H7" i="21"/>
  <c r="B7" i="21"/>
  <c r="C4" i="21"/>
  <c r="I4" i="21"/>
  <c r="I3" i="21"/>
  <c r="C3" i="21"/>
  <c r="H3" i="21" l="1"/>
  <c r="H4" i="21"/>
  <c r="B4" i="21"/>
  <c r="B3" i="21"/>
  <c r="D4" i="15" l="1"/>
  <c r="E4" i="15"/>
  <c r="F4" i="15"/>
  <c r="G4" i="15"/>
  <c r="H4" i="15"/>
  <c r="I4" i="15"/>
  <c r="J4" i="15"/>
  <c r="K4" i="15"/>
  <c r="K5" i="19" l="1"/>
  <c r="J5" i="19"/>
  <c r="I5" i="19"/>
  <c r="H5" i="19"/>
  <c r="G5" i="19"/>
  <c r="F5" i="19"/>
  <c r="E5" i="19"/>
  <c r="C5" i="19"/>
  <c r="K4" i="19"/>
  <c r="J4" i="19"/>
  <c r="I4" i="19"/>
  <c r="H4" i="19"/>
  <c r="G4" i="19"/>
  <c r="F4" i="19"/>
  <c r="E4" i="19"/>
  <c r="D4" i="19"/>
  <c r="C5" i="15" l="1"/>
  <c r="K5" i="15"/>
  <c r="J5" i="15"/>
  <c r="I5" i="15"/>
  <c r="H5" i="15"/>
  <c r="G5" i="15"/>
  <c r="F5" i="15"/>
  <c r="E5" i="15"/>
  <c r="K4" i="20" l="1"/>
  <c r="J4" i="20"/>
  <c r="I4" i="20"/>
  <c r="H4" i="20"/>
  <c r="G4" i="20"/>
  <c r="F4" i="20"/>
  <c r="L5" i="20" l="1"/>
  <c r="K5" i="20"/>
  <c r="J5" i="20"/>
  <c r="I5" i="20"/>
  <c r="H5" i="20"/>
  <c r="G5" i="20"/>
  <c r="F5" i="20"/>
  <c r="E5" i="20"/>
  <c r="C5" i="20"/>
  <c r="L3" i="20"/>
  <c r="A3" i="20"/>
  <c r="A4" i="20" s="1"/>
  <c r="A5" i="20" s="1"/>
  <c r="L2" i="20"/>
  <c r="L5" i="19"/>
  <c r="L4" i="19"/>
  <c r="L3" i="19"/>
  <c r="A3" i="19"/>
  <c r="A4" i="19" s="1"/>
  <c r="A5" i="19" s="1"/>
  <c r="L2" i="19"/>
  <c r="L4" i="20" l="1"/>
  <c r="F5" i="18" l="1"/>
  <c r="F4" i="18"/>
  <c r="F3" i="18"/>
  <c r="F2" i="18"/>
  <c r="F5" i="14"/>
  <c r="F4" i="14"/>
  <c r="F3" i="14"/>
  <c r="F2" i="14"/>
  <c r="F5" i="17"/>
  <c r="F4" i="17"/>
  <c r="M3" i="18" l="1"/>
  <c r="M5" i="18"/>
  <c r="M4" i="18"/>
  <c r="M2" i="18"/>
  <c r="M5" i="14" l="1"/>
  <c r="M4" i="14"/>
  <c r="M3" i="14"/>
  <c r="M2" i="14"/>
  <c r="D5" i="18"/>
  <c r="K3" i="18"/>
  <c r="J3" i="18"/>
  <c r="I3" i="18"/>
  <c r="H3" i="18"/>
  <c r="G3" i="18"/>
  <c r="E3" i="18"/>
  <c r="D3" i="18"/>
  <c r="C3" i="18"/>
  <c r="C4" i="18"/>
  <c r="K2" i="18"/>
  <c r="J2" i="18"/>
  <c r="I2" i="18"/>
  <c r="H2" i="18"/>
  <c r="G2" i="18"/>
  <c r="E2" i="18"/>
  <c r="D2" i="18"/>
  <c r="C2" i="18"/>
  <c r="A3" i="18"/>
  <c r="A4" i="18" s="1"/>
  <c r="A5" i="18" s="1"/>
  <c r="L2" i="18" l="1"/>
  <c r="L3" i="18"/>
  <c r="C5" i="17" l="1"/>
  <c r="K5" i="17"/>
  <c r="K5" i="18" s="1"/>
  <c r="J5" i="17"/>
  <c r="J5" i="18" s="1"/>
  <c r="I5" i="17"/>
  <c r="I5" i="18" s="1"/>
  <c r="H5" i="17"/>
  <c r="H5" i="18" s="1"/>
  <c r="G5" i="17"/>
  <c r="G5" i="18" s="1"/>
  <c r="E5" i="17"/>
  <c r="E5" i="18" s="1"/>
  <c r="I4" i="17"/>
  <c r="I4" i="18" s="1"/>
  <c r="K4" i="17"/>
  <c r="K4" i="18" s="1"/>
  <c r="J4" i="17"/>
  <c r="J4" i="18" s="1"/>
  <c r="H4" i="17"/>
  <c r="H4" i="18" s="1"/>
  <c r="G4" i="17"/>
  <c r="G4" i="18" s="1"/>
  <c r="E4" i="17"/>
  <c r="E4" i="18" s="1"/>
  <c r="D4" i="17"/>
  <c r="D4" i="18" s="1"/>
  <c r="L5" i="17" l="1"/>
  <c r="C5" i="18"/>
  <c r="L5" i="18" s="1"/>
  <c r="L4" i="18"/>
  <c r="L4" i="17"/>
  <c r="L3" i="17"/>
  <c r="A3" i="17"/>
  <c r="A4" i="17" s="1"/>
  <c r="A5" i="17" s="1"/>
  <c r="L2" i="17"/>
  <c r="J5" i="14"/>
  <c r="I5" i="14"/>
  <c r="H5" i="14"/>
  <c r="D5" i="14"/>
  <c r="K3" i="14"/>
  <c r="J3" i="14"/>
  <c r="I3" i="14"/>
  <c r="H3" i="14"/>
  <c r="G3" i="14"/>
  <c r="E3" i="14"/>
  <c r="D3" i="14"/>
  <c r="C3" i="14"/>
  <c r="G4" i="14"/>
  <c r="D4" i="14"/>
  <c r="C4" i="14"/>
  <c r="K2" i="14"/>
  <c r="J2" i="14"/>
  <c r="I2" i="14"/>
  <c r="H2" i="14"/>
  <c r="G2" i="14"/>
  <c r="E2" i="14"/>
  <c r="D2" i="14"/>
  <c r="C2" i="14"/>
  <c r="A3" i="14"/>
  <c r="A4" i="14" s="1"/>
  <c r="A5" i="14" s="1"/>
  <c r="K5" i="14"/>
  <c r="G5" i="14"/>
  <c r="E5" i="14"/>
  <c r="C5" i="14"/>
  <c r="L3" i="15"/>
  <c r="J4" i="14"/>
  <c r="I4" i="14"/>
  <c r="H4" i="14"/>
  <c r="E4" i="14"/>
  <c r="L2" i="15"/>
  <c r="L4" i="15" l="1"/>
  <c r="K4" i="14"/>
  <c r="L4" i="14" s="1"/>
  <c r="L2" i="14"/>
  <c r="L5" i="14"/>
  <c r="L3" i="14"/>
  <c r="L5" i="15"/>
  <c r="A3" i="15" l="1"/>
  <c r="A4" i="15" s="1"/>
  <c r="A5" i="15" s="1"/>
</calcChain>
</file>

<file path=xl/sharedStrings.xml><?xml version="1.0" encoding="utf-8"?>
<sst xmlns="http://schemas.openxmlformats.org/spreadsheetml/2006/main" count="160" uniqueCount="26">
  <si>
    <t>Electricity</t>
  </si>
  <si>
    <t>Total</t>
  </si>
  <si>
    <t>Direct emissions</t>
  </si>
  <si>
    <t>Scenario</t>
  </si>
  <si>
    <t>CAPEX</t>
  </si>
  <si>
    <t>Ammonia</t>
  </si>
  <si>
    <t>Hydrogen</t>
  </si>
  <si>
    <t>2-Ethylanthraquinone</t>
  </si>
  <si>
    <t>Heating</t>
  </si>
  <si>
    <t>Cooling</t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</si>
  <si>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</si>
  <si>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</si>
  <si>
    <t>Impact 2050</t>
  </si>
  <si>
    <t>Catalyst</t>
  </si>
  <si>
    <t>Impact</t>
  </si>
  <si>
    <t>Cost</t>
  </si>
  <si>
    <t>89% NS</t>
  </si>
  <si>
    <t>Nitrous oxide - fossil</t>
  </si>
  <si>
    <t>Nitrous oxide - green</t>
  </si>
  <si>
    <t>Hydrogen peroxide - green</t>
  </si>
  <si>
    <t>Hydrogen peroxide - fossil</t>
  </si>
  <si>
    <t>Nitrous oxide selectivity</t>
  </si>
  <si>
    <t>Nitrous oxide NS selectivity</t>
  </si>
  <si>
    <t>Fossil</t>
  </si>
  <si>
    <t>Green</t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</si>
  <si>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ideal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</si>
</sst>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Fossil - distillation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selectivity_sensitivity!$A$2:$A$3</c:f>
              <c:numCache>
                <c:formatCode>0%</c:formatCode>
                <c:ptCount val="2"/>
                <c:pt idx="0">
                  <c:v>1</c:v>
                </c:pt>
                <c:pt idx="1">
                  <c:v>0.88700000000000001</c:v>
                </c:pt>
              </c:numCache>
            </c:numRef>
          </c:xVal>
          <c:yVal>
            <c:numRef>
              <c:f>selectivity_sensitivity!$B$2:$B$3</c:f>
              <c:numCache>
                <c:formatCode>0.000</c:formatCode>
                <c:ptCount val="2"/>
                <c:pt idx="0">
                  <c:v>2.8211916911436781</c:v>
                </c:pt>
                <c:pt idx="1">
                  <c:v>4.1788739818746503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3EF-4385-BABB-0AE56588F85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selectivity_sensitivity!$A$2:$A$3</c:f>
              <c:numCache>
                <c:formatCode>0%</c:formatCode>
                <c:ptCount val="2"/>
                <c:pt idx="0">
                  <c:v>1</c:v>
                </c:pt>
                <c:pt idx="1">
                  <c:v>0.88700000000000001</c:v>
                </c:pt>
              </c:numCache>
            </c:numRef>
          </c:xVal>
          <c:yVal>
            <c:numRef>
              <c:f>selectivity_sensitivity!$C$2:$C$3</c:f>
              <c:numCache>
                <c:formatCode>0.000</c:formatCode>
                <c:ptCount val="2"/>
                <c:pt idx="0">
                  <c:v>0.63523543310254549</c:v>
                </c:pt>
                <c:pt idx="1">
                  <c:v>0.81780456454416128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3EF-4385-BABB-0AE56588F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916015"/>
        <c:axId val="1001933199"/>
      </c:scatterChart>
      <c:valAx>
        <c:axId val="98791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33199"/>
        <c:crosses val="autoZero"/>
        <c:crossBetween val="midCat"/>
      </c:valAx>
      <c:valAx>
        <c:axId val="100193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916015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Fossil - membrane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selectivity_sensitivity!$A$2:$A$3</c:f>
              <c:numCache>
                <c:formatCode>0%</c:formatCode>
                <c:ptCount val="2"/>
                <c:pt idx="0">
                  <c:v>1</c:v>
                </c:pt>
                <c:pt idx="1">
                  <c:v>0.88700000000000001</c:v>
                </c:pt>
              </c:numCache>
            </c:numRef>
          </c:xVal>
          <c:yVal>
            <c:numRef>
              <c:f>(selectivity_sensitivity!$B$2,selectivity_sensitivity!$B$4)</c:f>
              <c:numCache>
                <c:formatCode>0.000</c:formatCode>
                <c:ptCount val="2"/>
                <c:pt idx="0">
                  <c:v>2.8211916911436781</c:v>
                </c:pt>
                <c:pt idx="1">
                  <c:v>3.2084825673819584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F4-4C70-8780-711D7E4DDE7F}"/>
            </c:ext>
          </c:extLst>
        </c:ser>
        <c:ser>
          <c:idx val="1"/>
          <c:order val="1"/>
          <c:spPr>
            <a:ln w="19050">
              <a:noFill/>
            </a:ln>
          </c:spP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selectivity_sensitivity!$A$2:$A$3</c:f>
              <c:numCache>
                <c:formatCode>0%</c:formatCode>
                <c:ptCount val="2"/>
                <c:pt idx="0">
                  <c:v>1</c:v>
                </c:pt>
                <c:pt idx="1">
                  <c:v>0.88700000000000001</c:v>
                </c:pt>
              </c:numCache>
            </c:numRef>
          </c:xVal>
          <c:yVal>
            <c:numRef>
              <c:f>(selectivity_sensitivity!$C$2,selectivity_sensitivity!$C$4)</c:f>
              <c:numCache>
                <c:formatCode>0.000</c:formatCode>
                <c:ptCount val="2"/>
                <c:pt idx="0">
                  <c:v>0.63523543310254549</c:v>
                </c:pt>
                <c:pt idx="1">
                  <c:v>0.74349959708668256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F4-4C70-8780-711D7E4DD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916015"/>
        <c:axId val="1001933199"/>
      </c:scatterChart>
      <c:valAx>
        <c:axId val="98791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33199"/>
        <c:crosses val="autoZero"/>
        <c:crossBetween val="midCat"/>
      </c:valAx>
      <c:valAx>
        <c:axId val="100193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916015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Green - distillation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selectivity_sensitivity!$A$2:$A$3</c:f>
              <c:numCache>
                <c:formatCode>0%</c:formatCode>
                <c:ptCount val="2"/>
                <c:pt idx="0">
                  <c:v>1</c:v>
                </c:pt>
                <c:pt idx="1">
                  <c:v>0.88700000000000001</c:v>
                </c:pt>
              </c:numCache>
            </c:numRef>
          </c:xVal>
          <c:yVal>
            <c:numRef>
              <c:f>selectivity_sensitivity!$H$2:$H$3</c:f>
              <c:numCache>
                <c:formatCode>0.000</c:formatCode>
                <c:ptCount val="2"/>
                <c:pt idx="0">
                  <c:v>0.70255945930524477</c:v>
                </c:pt>
                <c:pt idx="1">
                  <c:v>1.7981651774478364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9C-45A8-9F3E-80CA22A90EF7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selectivity_sensitivity!$A$2:$A$3</c:f>
              <c:numCache>
                <c:formatCode>0%</c:formatCode>
                <c:ptCount val="2"/>
                <c:pt idx="0">
                  <c:v>1</c:v>
                </c:pt>
                <c:pt idx="1">
                  <c:v>0.88700000000000001</c:v>
                </c:pt>
              </c:numCache>
            </c:numRef>
          </c:xVal>
          <c:yVal>
            <c:numRef>
              <c:f>selectivity_sensitivity!$I$2:$I$3</c:f>
              <c:numCache>
                <c:formatCode>0.000</c:formatCode>
                <c:ptCount val="2"/>
                <c:pt idx="0">
                  <c:v>1.157267573964907</c:v>
                </c:pt>
                <c:pt idx="1">
                  <c:v>1.4044138041521503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9C-45A8-9F3E-80CA22A90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916015"/>
        <c:axId val="1001933199"/>
      </c:scatterChart>
      <c:valAx>
        <c:axId val="98791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33199"/>
        <c:crosses val="autoZero"/>
        <c:crossBetween val="midCat"/>
      </c:valAx>
      <c:valAx>
        <c:axId val="100193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916015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Fossil - membrane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selectivity_sensitivity!$A$2:$A$3</c:f>
              <c:numCache>
                <c:formatCode>0%</c:formatCode>
                <c:ptCount val="2"/>
                <c:pt idx="0">
                  <c:v>1</c:v>
                </c:pt>
                <c:pt idx="1">
                  <c:v>0.88700000000000001</c:v>
                </c:pt>
              </c:numCache>
            </c:numRef>
          </c:xVal>
          <c:yVal>
            <c:numRef>
              <c:f>(selectivity_sensitivity!$H$2,selectivity_sensitivity!$H$4)</c:f>
              <c:numCache>
                <c:formatCode>0.000</c:formatCode>
                <c:ptCount val="2"/>
                <c:pt idx="0">
                  <c:v>0.70255945930524477</c:v>
                </c:pt>
                <c:pt idx="1">
                  <c:v>0.83685857087033899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D9-413E-9FA6-7E1FD65FAA84}"/>
            </c:ext>
          </c:extLst>
        </c:ser>
        <c:ser>
          <c:idx val="1"/>
          <c:order val="1"/>
          <c:spPr>
            <a:ln w="19050">
              <a:noFill/>
            </a:ln>
          </c:spP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selectivity_sensitivity!$A$2:$A$3</c:f>
              <c:numCache>
                <c:formatCode>0%</c:formatCode>
                <c:ptCount val="2"/>
                <c:pt idx="0">
                  <c:v>1</c:v>
                </c:pt>
                <c:pt idx="1">
                  <c:v>0.88700000000000001</c:v>
                </c:pt>
              </c:numCache>
            </c:numRef>
          </c:xVal>
          <c:yVal>
            <c:numRef>
              <c:f>(selectivity_sensitivity!$I$2,selectivity_sensitivity!$I$4)</c:f>
              <c:numCache>
                <c:formatCode>0.000</c:formatCode>
                <c:ptCount val="2"/>
                <c:pt idx="0">
                  <c:v>1.157267573964907</c:v>
                </c:pt>
                <c:pt idx="1">
                  <c:v>1.3278677414709081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D9-413E-9FA6-7E1FD65FA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916015"/>
        <c:axId val="1001933199"/>
      </c:scatterChart>
      <c:valAx>
        <c:axId val="98791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33199"/>
        <c:crosses val="autoZero"/>
        <c:crossBetween val="midCat"/>
      </c:valAx>
      <c:valAx>
        <c:axId val="100193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916015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2</xdr:row>
      <xdr:rowOff>4762</xdr:rowOff>
    </xdr:from>
    <xdr:to>
      <xdr:col>17</xdr:col>
      <xdr:colOff>400050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AC261-206D-40FF-BF23-998AD65D2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485775</xdr:colOff>
      <xdr:row>2</xdr:row>
      <xdr:rowOff>9525</xdr:rowOff>
    </xdr:from>
    <xdr:to>
      <xdr:col>25</xdr:col>
      <xdr:colOff>180975</xdr:colOff>
      <xdr:row>16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E38F72-A98D-4E6F-88C8-F044BA4D1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17</xdr:col>
      <xdr:colOff>304800</xdr:colOff>
      <xdr:row>31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6AE35C-9F11-4D6B-B8F6-C9E923154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428625</xdr:colOff>
      <xdr:row>17</xdr:row>
      <xdr:rowOff>9525</xdr:rowOff>
    </xdr:from>
    <xdr:to>
      <xdr:col>25</xdr:col>
      <xdr:colOff>123825</xdr:colOff>
      <xdr:row>31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8212DD-67CF-4B3B-8403-A1277DAF8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B293-21A4-490E-8B90-BF3EE8D79D2C}">
  <dimension ref="A1:M5"/>
  <sheetViews>
    <sheetView zoomScale="115" zoomScaleNormal="115" workbookViewId="0">
      <selection activeCell="F24" sqref="F24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4" width="9.5703125" bestFit="1" customWidth="1"/>
    <col min="5" max="5" width="20.5703125" bestFit="1" customWidth="1"/>
    <col min="6" max="6" width="20.5703125" customWidth="1"/>
    <col min="7" max="7" width="9.7109375" bestFit="1" customWidth="1"/>
    <col min="8" max="8" width="7.85546875" bestFit="1" customWidth="1"/>
    <col min="9" max="9" width="7.7109375" bestFit="1" customWidth="1"/>
    <col min="10" max="10" width="6.7109375" bestFit="1" customWidth="1"/>
    <col min="11" max="11" width="15.7109375" bestFit="1" customWidth="1"/>
    <col min="12" max="12" width="6.140625" bestFit="1" customWidth="1"/>
    <col min="13" max="13" width="12" bestFit="1" customWidth="1"/>
  </cols>
  <sheetData>
    <row r="1" spans="1:13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13</v>
      </c>
      <c r="G1" s="1" t="s">
        <v>0</v>
      </c>
      <c r="H1" s="1" t="s">
        <v>8</v>
      </c>
      <c r="I1" s="1" t="s">
        <v>9</v>
      </c>
      <c r="J1" s="1" t="s">
        <v>4</v>
      </c>
      <c r="K1" s="1" t="s">
        <v>2</v>
      </c>
      <c r="L1" s="3" t="s">
        <v>1</v>
      </c>
      <c r="M1" s="4" t="s">
        <v>12</v>
      </c>
    </row>
    <row r="2" spans="1:13" ht="18" x14ac:dyDescent="0.35">
      <c r="A2" s="2">
        <v>0</v>
      </c>
      <c r="B2" s="1" t="s">
        <v>10</v>
      </c>
      <c r="C2" s="4">
        <v>3.1292733879717671</v>
      </c>
      <c r="D2" s="4">
        <v>0</v>
      </c>
      <c r="E2" s="4">
        <v>0</v>
      </c>
      <c r="F2" s="4">
        <v>4.5604198753501418E-3</v>
      </c>
      <c r="G2" s="4">
        <v>4.1235673926948491E-2</v>
      </c>
      <c r="H2" s="4">
        <v>0</v>
      </c>
      <c r="I2" s="4">
        <v>0.94914254650971208</v>
      </c>
      <c r="J2" s="4">
        <v>0</v>
      </c>
      <c r="K2" s="4">
        <v>5.4661953590872336E-2</v>
      </c>
      <c r="L2" s="4">
        <f>SUM(C2:K2)</f>
        <v>4.1788739818746503</v>
      </c>
      <c r="M2" s="4">
        <v>3.0602485300593778</v>
      </c>
    </row>
    <row r="3" spans="1:13" ht="18" x14ac:dyDescent="0.35">
      <c r="A3" s="2">
        <f>A2+1</f>
        <v>1</v>
      </c>
      <c r="B3" s="1" t="s">
        <v>11</v>
      </c>
      <c r="C3" s="4">
        <v>0</v>
      </c>
      <c r="D3" s="4">
        <v>0.93402477368019154</v>
      </c>
      <c r="E3" s="4">
        <v>7.159020601478655E-2</v>
      </c>
      <c r="F3" s="4">
        <v>2.91590489513779E-5</v>
      </c>
      <c r="G3" s="4">
        <v>6.0084848449833757E-2</v>
      </c>
      <c r="H3" s="4">
        <v>0.13736127144885779</v>
      </c>
      <c r="I3" s="4">
        <v>1.2946870231381349E-3</v>
      </c>
      <c r="J3" s="4">
        <v>0</v>
      </c>
      <c r="K3" s="4">
        <v>8.1327667296747785E-2</v>
      </c>
      <c r="L3" s="4">
        <f>SUM(C3:K3)</f>
        <v>1.2857126129625069</v>
      </c>
      <c r="M3" s="4">
        <v>1.149224669831264</v>
      </c>
    </row>
    <row r="4" spans="1:13" ht="18" x14ac:dyDescent="0.35">
      <c r="A4" s="2">
        <f t="shared" ref="A4:A5" si="0">A3+1</f>
        <v>2</v>
      </c>
      <c r="B4" s="1" t="s">
        <v>10</v>
      </c>
      <c r="C4" s="4">
        <v>0.74856458354495325</v>
      </c>
      <c r="D4" s="4">
        <f t="shared" ref="D4:K4" si="1">D2</f>
        <v>0</v>
      </c>
      <c r="E4" s="4">
        <f t="shared" si="1"/>
        <v>0</v>
      </c>
      <c r="F4" s="4">
        <f t="shared" si="1"/>
        <v>4.5604198753501418E-3</v>
      </c>
      <c r="G4" s="4">
        <f t="shared" si="1"/>
        <v>4.1235673926948491E-2</v>
      </c>
      <c r="H4" s="4">
        <f t="shared" si="1"/>
        <v>0</v>
      </c>
      <c r="I4" s="4">
        <f t="shared" si="1"/>
        <v>0.94914254650971208</v>
      </c>
      <c r="J4" s="4">
        <f t="shared" si="1"/>
        <v>0</v>
      </c>
      <c r="K4" s="4">
        <f t="shared" si="1"/>
        <v>5.4661953590872336E-2</v>
      </c>
      <c r="L4" s="4">
        <f>SUM(C4:K4)</f>
        <v>1.7981651774478364</v>
      </c>
      <c r="M4" s="4">
        <v>0.30380706863864709</v>
      </c>
    </row>
    <row r="5" spans="1:13" ht="18" x14ac:dyDescent="0.35">
      <c r="A5" s="2">
        <f t="shared" si="0"/>
        <v>3</v>
      </c>
      <c r="B5" s="1" t="s">
        <v>11</v>
      </c>
      <c r="C5" s="4">
        <f>C3</f>
        <v>0</v>
      </c>
      <c r="D5" s="4">
        <v>0.14054270293045379</v>
      </c>
      <c r="E5" s="4">
        <f t="shared" ref="E5:K5" si="2">E3</f>
        <v>7.159020601478655E-2</v>
      </c>
      <c r="F5" s="4">
        <f t="shared" si="2"/>
        <v>2.91590489513779E-5</v>
      </c>
      <c r="G5" s="4">
        <f t="shared" si="2"/>
        <v>6.0084848449833757E-2</v>
      </c>
      <c r="H5" s="4">
        <f t="shared" si="2"/>
        <v>0.13736127144885779</v>
      </c>
      <c r="I5" s="4">
        <f t="shared" si="2"/>
        <v>1.2946870231381349E-3</v>
      </c>
      <c r="J5" s="4">
        <f t="shared" si="2"/>
        <v>0</v>
      </c>
      <c r="K5" s="4">
        <f t="shared" si="2"/>
        <v>8.1327667296747785E-2</v>
      </c>
      <c r="L5" s="4">
        <f>SUM(C5:K5)</f>
        <v>0.49223054221276918</v>
      </c>
      <c r="M5" s="4">
        <v>0.3707544587509744</v>
      </c>
    </row>
  </sheetData>
  <conditionalFormatting sqref="L2:L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3BC3-354F-45C6-8CAE-219067639518}">
  <dimension ref="A1:M5"/>
  <sheetViews>
    <sheetView topLeftCell="F1" zoomScale="115" zoomScaleNormal="115" workbookViewId="0">
      <selection activeCell="N8" sqref="N8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4" width="9.5703125" bestFit="1" customWidth="1"/>
    <col min="5" max="5" width="20.5703125" bestFit="1" customWidth="1"/>
    <col min="6" max="6" width="20.5703125" customWidth="1"/>
    <col min="7" max="7" width="9.7109375" bestFit="1" customWidth="1"/>
    <col min="8" max="8" width="7.85546875" bestFit="1" customWidth="1"/>
    <col min="9" max="9" width="7.7109375" bestFit="1" customWidth="1"/>
    <col min="10" max="10" width="6.7109375" bestFit="1" customWidth="1"/>
    <col min="11" max="11" width="15.7109375" bestFit="1" customWidth="1"/>
    <col min="12" max="12" width="6.140625" bestFit="1" customWidth="1"/>
    <col min="13" max="13" width="12" bestFit="1" customWidth="1"/>
  </cols>
  <sheetData>
    <row r="1" spans="1:13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13</v>
      </c>
      <c r="G1" s="1" t="s">
        <v>0</v>
      </c>
      <c r="H1" s="1" t="s">
        <v>8</v>
      </c>
      <c r="I1" s="1" t="s">
        <v>9</v>
      </c>
      <c r="J1" s="1" t="s">
        <v>4</v>
      </c>
      <c r="K1" s="1" t="s">
        <v>2</v>
      </c>
      <c r="L1" s="3" t="s">
        <v>1</v>
      </c>
      <c r="M1" s="4" t="s">
        <v>12</v>
      </c>
    </row>
    <row r="2" spans="1:13" ht="18" x14ac:dyDescent="0.35">
      <c r="A2" s="2">
        <v>0</v>
      </c>
      <c r="B2" s="1" t="s">
        <v>10</v>
      </c>
      <c r="C2" s="4">
        <v>3.1173320503369522</v>
      </c>
      <c r="D2" s="4">
        <v>0</v>
      </c>
      <c r="E2" s="4">
        <v>0</v>
      </c>
      <c r="F2" s="4">
        <v>4.5604198753501418E-3</v>
      </c>
      <c r="G2" s="4">
        <v>5.6712683619657839E-2</v>
      </c>
      <c r="H2" s="4">
        <v>0</v>
      </c>
      <c r="I2" s="4">
        <v>2.5773323120636413E-3</v>
      </c>
      <c r="J2" s="4">
        <v>0</v>
      </c>
      <c r="K2" s="4">
        <v>2.7300081237934481E-2</v>
      </c>
      <c r="L2" s="4">
        <f>SUM(C2:K2)</f>
        <v>3.2084825673819584</v>
      </c>
      <c r="M2" s="4">
        <v>3.0101241646534369</v>
      </c>
    </row>
    <row r="3" spans="1:13" ht="18" x14ac:dyDescent="0.35">
      <c r="A3" s="2">
        <f>A2+1</f>
        <v>1</v>
      </c>
      <c r="B3" s="1" t="s">
        <v>11</v>
      </c>
      <c r="C3" s="4">
        <v>0</v>
      </c>
      <c r="D3" s="4">
        <v>0.93402477368019154</v>
      </c>
      <c r="E3" s="4">
        <v>7.159020601478655E-2</v>
      </c>
      <c r="F3" s="4">
        <v>2.91590489513779E-5</v>
      </c>
      <c r="G3" s="4">
        <v>6.0084848449833757E-2</v>
      </c>
      <c r="H3" s="4">
        <v>0.13736127144885779</v>
      </c>
      <c r="I3" s="4">
        <v>1.2946870231381349E-3</v>
      </c>
      <c r="J3" s="4">
        <v>0</v>
      </c>
      <c r="K3" s="4">
        <v>8.1327667296747785E-2</v>
      </c>
      <c r="L3" s="4">
        <f>SUM(C3:K3)</f>
        <v>1.2857126129625069</v>
      </c>
      <c r="M3" s="4">
        <v>1.149224669831264</v>
      </c>
    </row>
    <row r="4" spans="1:13" ht="18" x14ac:dyDescent="0.35">
      <c r="A4" s="2">
        <f t="shared" ref="A4:A5" si="0">A3+1</f>
        <v>2</v>
      </c>
      <c r="B4" s="1" t="s">
        <v>10</v>
      </c>
      <c r="C4" s="4">
        <v>0.74570805382533278</v>
      </c>
      <c r="D4" s="4">
        <f t="shared" ref="D4:K4" si="1">D2</f>
        <v>0</v>
      </c>
      <c r="E4" s="4">
        <f t="shared" si="1"/>
        <v>0</v>
      </c>
      <c r="F4" s="4">
        <f t="shared" si="1"/>
        <v>4.5604198753501418E-3</v>
      </c>
      <c r="G4" s="4">
        <f t="shared" si="1"/>
        <v>5.6712683619657839E-2</v>
      </c>
      <c r="H4" s="4">
        <f t="shared" si="1"/>
        <v>0</v>
      </c>
      <c r="I4" s="4">
        <f t="shared" si="1"/>
        <v>2.5773323120636413E-3</v>
      </c>
      <c r="J4" s="4">
        <f t="shared" si="1"/>
        <v>0</v>
      </c>
      <c r="K4" s="4">
        <f t="shared" si="1"/>
        <v>2.7300081237934481E-2</v>
      </c>
      <c r="L4" s="4">
        <f>SUM(C4:K4)</f>
        <v>0.83685857087033899</v>
      </c>
      <c r="M4" s="4">
        <v>0.26420115924802429</v>
      </c>
    </row>
    <row r="5" spans="1:13" ht="18" x14ac:dyDescent="0.35">
      <c r="A5" s="2">
        <f t="shared" si="0"/>
        <v>3</v>
      </c>
      <c r="B5" s="1" t="s">
        <v>11</v>
      </c>
      <c r="C5" s="4">
        <f>C3</f>
        <v>0</v>
      </c>
      <c r="D5" s="4">
        <v>0.14054270293045379</v>
      </c>
      <c r="E5" s="4">
        <f t="shared" ref="E5:K5" si="2">E3</f>
        <v>7.159020601478655E-2</v>
      </c>
      <c r="F5" s="4">
        <f t="shared" si="2"/>
        <v>2.91590489513779E-5</v>
      </c>
      <c r="G5" s="4">
        <f t="shared" si="2"/>
        <v>6.0084848449833757E-2</v>
      </c>
      <c r="H5" s="4">
        <f t="shared" si="2"/>
        <v>0.13736127144885779</v>
      </c>
      <c r="I5" s="4">
        <f t="shared" si="2"/>
        <v>1.2946870231381349E-3</v>
      </c>
      <c r="J5" s="4">
        <f t="shared" si="2"/>
        <v>0</v>
      </c>
      <c r="K5" s="4">
        <f t="shared" si="2"/>
        <v>8.1327667296747785E-2</v>
      </c>
      <c r="L5" s="4">
        <f>SUM(C5:K5)</f>
        <v>0.49223054221276918</v>
      </c>
      <c r="M5" s="4">
        <v>0.3707544587509744</v>
      </c>
    </row>
  </sheetData>
  <conditionalFormatting sqref="L2:L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494C-C6EF-4015-AC8B-1037D6445E0B}">
  <dimension ref="A1:M7"/>
  <sheetViews>
    <sheetView zoomScale="115" zoomScaleNormal="115" workbookViewId="0">
      <selection activeCell="B1" sqref="B1:B7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4" width="9.5703125" bestFit="1" customWidth="1"/>
    <col min="5" max="5" width="20.5703125" bestFit="1" customWidth="1"/>
    <col min="6" max="6" width="20.5703125" customWidth="1"/>
    <col min="7" max="7" width="9.7109375" bestFit="1" customWidth="1"/>
    <col min="8" max="8" width="7.85546875" bestFit="1" customWidth="1"/>
    <col min="9" max="9" width="7.7109375" bestFit="1" customWidth="1"/>
    <col min="10" max="10" width="6.7109375" bestFit="1" customWidth="1"/>
    <col min="11" max="11" width="15.7109375" bestFit="1" customWidth="1"/>
    <col min="12" max="12" width="6.140625" bestFit="1" customWidth="1"/>
    <col min="13" max="13" width="12" bestFit="1" customWidth="1"/>
  </cols>
  <sheetData>
    <row r="1" spans="1:13" x14ac:dyDescent="0.25">
      <c r="B1" s="1" t="s">
        <v>3</v>
      </c>
      <c r="C1" s="4" t="s">
        <v>5</v>
      </c>
      <c r="D1" s="4" t="s">
        <v>6</v>
      </c>
      <c r="E1" s="4" t="s">
        <v>7</v>
      </c>
      <c r="F1" s="4" t="s">
        <v>13</v>
      </c>
      <c r="G1" s="4" t="s">
        <v>0</v>
      </c>
      <c r="H1" s="4" t="s">
        <v>8</v>
      </c>
      <c r="I1" s="4" t="s">
        <v>9</v>
      </c>
      <c r="J1" s="4" t="s">
        <v>4</v>
      </c>
      <c r="K1" s="4" t="s">
        <v>2</v>
      </c>
      <c r="L1" s="3" t="s">
        <v>1</v>
      </c>
      <c r="M1" s="4" t="s">
        <v>12</v>
      </c>
    </row>
    <row r="2" spans="1:13" ht="18" x14ac:dyDescent="0.35">
      <c r="A2" s="2">
        <v>0</v>
      </c>
      <c r="B2" s="1" t="s">
        <v>25</v>
      </c>
      <c r="C2" s="4">
        <v>2.7847923216934301</v>
      </c>
      <c r="D2" s="4">
        <v>0</v>
      </c>
      <c r="E2" s="4">
        <v>0</v>
      </c>
      <c r="F2" s="4">
        <v>4.5604198753501418E-3</v>
      </c>
      <c r="G2" s="4">
        <v>3.4123146452330201E-2</v>
      </c>
      <c r="H2" s="4">
        <v>0</v>
      </c>
      <c r="I2" s="4">
        <f>0.000579345129499959+0.00169693640788248</f>
        <v>2.2762815373824391E-3</v>
      </c>
      <c r="J2" s="4">
        <v>0</v>
      </c>
      <c r="K2" s="4">
        <v>0</v>
      </c>
      <c r="L2" s="4">
        <f>SUM(C2:K2)</f>
        <v>2.8257521695584931</v>
      </c>
      <c r="M2" s="4">
        <v>2.6637414138809001</v>
      </c>
    </row>
    <row r="3" spans="1:13" ht="18" x14ac:dyDescent="0.35">
      <c r="A3" s="2">
        <f>A2+1</f>
        <v>1</v>
      </c>
      <c r="B3" s="1" t="s">
        <v>10</v>
      </c>
      <c r="C3" s="4">
        <v>3.1173320503369522</v>
      </c>
      <c r="D3" s="4">
        <v>0</v>
      </c>
      <c r="E3" s="4">
        <v>0</v>
      </c>
      <c r="F3" s="4">
        <v>4.5604198753501418E-3</v>
      </c>
      <c r="G3" s="4">
        <v>5.6712683619657839E-2</v>
      </c>
      <c r="H3" s="4">
        <v>0</v>
      </c>
      <c r="I3" s="4">
        <v>2.5773323120636413E-3</v>
      </c>
      <c r="J3" s="4">
        <v>0</v>
      </c>
      <c r="K3" s="4">
        <v>2.7300081237934481E-2</v>
      </c>
      <c r="L3" s="4">
        <f>SUM(C3:K3)</f>
        <v>3.2084825673819584</v>
      </c>
      <c r="M3" s="4">
        <v>3.0101241646534369</v>
      </c>
    </row>
    <row r="4" spans="1:13" ht="18" x14ac:dyDescent="0.35">
      <c r="A4" s="2">
        <f>A3+1</f>
        <v>2</v>
      </c>
      <c r="B4" s="1" t="s">
        <v>11</v>
      </c>
      <c r="C4" s="4">
        <v>0</v>
      </c>
      <c r="D4" s="4">
        <v>0.93402477368019154</v>
      </c>
      <c r="E4" s="4">
        <v>7.159020601478655E-2</v>
      </c>
      <c r="F4" s="4">
        <v>2.91590489513779E-5</v>
      </c>
      <c r="G4" s="4">
        <v>6.0084848449833757E-2</v>
      </c>
      <c r="H4" s="4">
        <v>0.13736127144885779</v>
      </c>
      <c r="I4" s="4">
        <v>1.2946870231381349E-3</v>
      </c>
      <c r="J4" s="4">
        <v>0</v>
      </c>
      <c r="K4" s="4">
        <v>8.1327667296747785E-2</v>
      </c>
      <c r="L4" s="4">
        <f>SUM(C4:K4)</f>
        <v>1.2857126129625069</v>
      </c>
      <c r="M4" s="4">
        <v>1.149224669831264</v>
      </c>
    </row>
    <row r="5" spans="1:13" ht="18" x14ac:dyDescent="0.35">
      <c r="A5" s="2">
        <f>A4+1</f>
        <v>3</v>
      </c>
      <c r="B5" s="1" t="s">
        <v>25</v>
      </c>
      <c r="C5" s="4">
        <v>0.66616004615012392</v>
      </c>
      <c r="D5" s="4">
        <v>0</v>
      </c>
      <c r="E5" s="4">
        <v>0</v>
      </c>
      <c r="F5" s="4">
        <v>4.5604198753501418E-3</v>
      </c>
      <c r="G5" s="4">
        <f>G2</f>
        <v>3.4123146452330201E-2</v>
      </c>
      <c r="H5" s="4">
        <f>H2</f>
        <v>0</v>
      </c>
      <c r="I5" s="4">
        <f>I2</f>
        <v>2.2762815373824391E-3</v>
      </c>
      <c r="J5" s="4">
        <f>J2</f>
        <v>0</v>
      </c>
      <c r="K5" s="4">
        <f>K2</f>
        <v>0</v>
      </c>
      <c r="L5" s="4">
        <f>SUM(C5:K5)</f>
        <v>0.70711989401518671</v>
      </c>
      <c r="M5" s="4">
        <v>0.2107383910650685</v>
      </c>
    </row>
    <row r="6" spans="1:13" ht="18" x14ac:dyDescent="0.35">
      <c r="A6" s="2">
        <f>A5+1</f>
        <v>4</v>
      </c>
      <c r="B6" s="1" t="s">
        <v>10</v>
      </c>
      <c r="C6" s="4">
        <v>0.74570805382533278</v>
      </c>
      <c r="D6" s="4">
        <f t="shared" ref="D6:K7" si="0">D3</f>
        <v>0</v>
      </c>
      <c r="E6" s="4">
        <f t="shared" si="0"/>
        <v>0</v>
      </c>
      <c r="F6" s="4">
        <f t="shared" si="0"/>
        <v>4.5604198753501418E-3</v>
      </c>
      <c r="G6" s="4">
        <f t="shared" si="0"/>
        <v>5.6712683619657839E-2</v>
      </c>
      <c r="H6" s="4">
        <f t="shared" si="0"/>
        <v>0</v>
      </c>
      <c r="I6" s="4">
        <f t="shared" si="0"/>
        <v>2.5773323120636413E-3</v>
      </c>
      <c r="J6" s="4">
        <f t="shared" si="0"/>
        <v>0</v>
      </c>
      <c r="K6" s="4">
        <f t="shared" si="0"/>
        <v>2.7300081237934481E-2</v>
      </c>
      <c r="L6" s="4">
        <f>SUM(C6:K6)</f>
        <v>0.83685857087033899</v>
      </c>
      <c r="M6" s="4">
        <v>0.26420115924802429</v>
      </c>
    </row>
    <row r="7" spans="1:13" ht="18" x14ac:dyDescent="0.35">
      <c r="A7" s="2">
        <f>A6+1</f>
        <v>5</v>
      </c>
      <c r="B7" s="1" t="s">
        <v>11</v>
      </c>
      <c r="C7" s="4">
        <f>C4</f>
        <v>0</v>
      </c>
      <c r="D7" s="4">
        <v>0.14054270293045379</v>
      </c>
      <c r="E7" s="4">
        <f t="shared" si="0"/>
        <v>7.159020601478655E-2</v>
      </c>
      <c r="F7" s="4">
        <f t="shared" si="0"/>
        <v>2.91590489513779E-5</v>
      </c>
      <c r="G7" s="4">
        <f t="shared" si="0"/>
        <v>6.0084848449833757E-2</v>
      </c>
      <c r="H7" s="4">
        <f t="shared" si="0"/>
        <v>0.13736127144885779</v>
      </c>
      <c r="I7" s="4">
        <f t="shared" si="0"/>
        <v>1.2946870231381349E-3</v>
      </c>
      <c r="J7" s="4">
        <f t="shared" si="0"/>
        <v>0</v>
      </c>
      <c r="K7" s="4">
        <f t="shared" si="0"/>
        <v>8.1327667296747785E-2</v>
      </c>
      <c r="L7" s="4">
        <f>SUM(C7:K7)</f>
        <v>0.49223054221276918</v>
      </c>
      <c r="M7" s="4">
        <v>0.3707544587509744</v>
      </c>
    </row>
  </sheetData>
  <conditionalFormatting sqref="L3:L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M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M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7EC0-0273-470A-BF1C-FDFDD2F0E9BF}">
  <dimension ref="A1:M5"/>
  <sheetViews>
    <sheetView zoomScale="115" zoomScaleNormal="115" workbookViewId="0">
      <selection activeCell="H31" sqref="H31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4" width="9.5703125" bestFit="1" customWidth="1"/>
    <col min="5" max="5" width="20.5703125" bestFit="1" customWidth="1"/>
    <col min="6" max="6" width="20.5703125" customWidth="1"/>
    <col min="7" max="7" width="9.7109375" bestFit="1" customWidth="1"/>
    <col min="8" max="8" width="7.85546875" bestFit="1" customWidth="1"/>
    <col min="9" max="9" width="7.7109375" bestFit="1" customWidth="1"/>
    <col min="10" max="10" width="6.7109375" bestFit="1" customWidth="1"/>
    <col min="11" max="11" width="15.7109375" bestFit="1" customWidth="1"/>
    <col min="12" max="12" width="8.28515625" bestFit="1" customWidth="1"/>
    <col min="13" max="13" width="12" bestFit="1" customWidth="1"/>
  </cols>
  <sheetData>
    <row r="1" spans="1:13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13</v>
      </c>
      <c r="G1" s="1" t="s">
        <v>0</v>
      </c>
      <c r="H1" s="1" t="s">
        <v>8</v>
      </c>
      <c r="I1" s="1" t="s">
        <v>9</v>
      </c>
      <c r="J1" s="1" t="s">
        <v>4</v>
      </c>
      <c r="K1" s="1" t="s">
        <v>2</v>
      </c>
      <c r="L1" s="3" t="s">
        <v>1</v>
      </c>
      <c r="M1" s="5" t="s">
        <v>12</v>
      </c>
    </row>
    <row r="2" spans="1:13" ht="18" x14ac:dyDescent="0.35">
      <c r="A2" s="2">
        <v>0</v>
      </c>
      <c r="B2" s="1" t="s">
        <v>10</v>
      </c>
      <c r="C2" s="4">
        <f>climate_change_per_kg!C2*44</f>
        <v>137.68802907075775</v>
      </c>
      <c r="D2" s="4">
        <f>climate_change_per_kg!D2*44</f>
        <v>0</v>
      </c>
      <c r="E2" s="4">
        <f>climate_change_per_kg!E2*44</f>
        <v>0</v>
      </c>
      <c r="F2" s="4">
        <f>climate_change_per_kg!F2*44</f>
        <v>0.20065847451540625</v>
      </c>
      <c r="G2" s="4">
        <f>climate_change_per_kg!G2*44</f>
        <v>1.8143696527857336</v>
      </c>
      <c r="H2" s="4">
        <f>climate_change_per_kg!H2*44</f>
        <v>0</v>
      </c>
      <c r="I2" s="4">
        <f>climate_change_per_kg!I2*44</f>
        <v>41.762272046427334</v>
      </c>
      <c r="J2" s="4">
        <f>climate_change_per_kg!J2*44</f>
        <v>0</v>
      </c>
      <c r="K2" s="4">
        <f>climate_change_per_kg!K2*44</f>
        <v>2.4051259579983828</v>
      </c>
      <c r="L2" s="4">
        <f>SUM(C2:K2)</f>
        <v>183.87045520248461</v>
      </c>
      <c r="M2" s="4">
        <f>climate_change_per_kg!M2*44</f>
        <v>134.65093532261261</v>
      </c>
    </row>
    <row r="3" spans="1:13" ht="18" x14ac:dyDescent="0.35">
      <c r="A3" s="2">
        <f>A2+1</f>
        <v>1</v>
      </c>
      <c r="B3" s="1" t="s">
        <v>11</v>
      </c>
      <c r="C3" s="4">
        <f>climate_change_per_kg!C3*34</f>
        <v>0</v>
      </c>
      <c r="D3" s="4">
        <f>climate_change_per_kg!D3*34</f>
        <v>31.756842305126511</v>
      </c>
      <c r="E3" s="4">
        <f>climate_change_per_kg!E3*34</f>
        <v>2.4340670045027428</v>
      </c>
      <c r="F3" s="4">
        <f>climate_change_per_kg!F3*34</f>
        <v>9.9140766434684851E-4</v>
      </c>
      <c r="G3" s="4">
        <f>climate_change_per_kg!G3*34</f>
        <v>2.0428848472943479</v>
      </c>
      <c r="H3" s="4">
        <f>climate_change_per_kg!H3*34</f>
        <v>4.6702832292611651</v>
      </c>
      <c r="I3" s="4">
        <f>climate_change_per_kg!I3*34</f>
        <v>4.4019358786696591E-2</v>
      </c>
      <c r="J3" s="4">
        <f>climate_change_per_kg!J3*34</f>
        <v>0</v>
      </c>
      <c r="K3" s="4">
        <f>climate_change_per_kg!K3*34</f>
        <v>2.7651406880894247</v>
      </c>
      <c r="L3" s="4">
        <f t="shared" ref="L3:L5" si="0">SUM(C3:K3)</f>
        <v>43.714228840725234</v>
      </c>
      <c r="M3" s="4">
        <f>climate_change_per_kg!M3*34</f>
        <v>39.073638774262974</v>
      </c>
    </row>
    <row r="4" spans="1:13" ht="18" x14ac:dyDescent="0.35">
      <c r="A4" s="2">
        <f t="shared" ref="A4:A5" si="1">A3+1</f>
        <v>2</v>
      </c>
      <c r="B4" s="1" t="s">
        <v>10</v>
      </c>
      <c r="C4" s="4">
        <f>climate_change_per_kg!C4*44</f>
        <v>32.936841675977945</v>
      </c>
      <c r="D4" s="4">
        <f>climate_change_per_kg!D4*44</f>
        <v>0</v>
      </c>
      <c r="E4" s="4">
        <f>climate_change_per_kg!E4*44</f>
        <v>0</v>
      </c>
      <c r="F4" s="4">
        <f>climate_change_per_kg!F4*44</f>
        <v>0.20065847451540625</v>
      </c>
      <c r="G4" s="4">
        <f>climate_change_per_kg!G4*44</f>
        <v>1.8143696527857336</v>
      </c>
      <c r="H4" s="4">
        <f>climate_change_per_kg!H4*44</f>
        <v>0</v>
      </c>
      <c r="I4" s="4">
        <f>climate_change_per_kg!I4*44</f>
        <v>41.762272046427334</v>
      </c>
      <c r="J4" s="4">
        <f>climate_change_per_kg!J4*44</f>
        <v>0</v>
      </c>
      <c r="K4" s="4">
        <f>climate_change_per_kg!K4*44</f>
        <v>2.4051259579983828</v>
      </c>
      <c r="L4" s="4">
        <f t="shared" si="0"/>
        <v>79.119267807704801</v>
      </c>
      <c r="M4" s="4">
        <f>climate_change_per_kg!M4*44</f>
        <v>13.367511020100473</v>
      </c>
    </row>
    <row r="5" spans="1:13" ht="18" x14ac:dyDescent="0.35">
      <c r="A5" s="2">
        <f t="shared" si="1"/>
        <v>3</v>
      </c>
      <c r="B5" s="1" t="s">
        <v>11</v>
      </c>
      <c r="C5" s="4">
        <f>climate_change_per_kg!C5*34</f>
        <v>0</v>
      </c>
      <c r="D5" s="4">
        <f>climate_change_per_kg!D5*34</f>
        <v>4.7784518996354288</v>
      </c>
      <c r="E5" s="4">
        <f>climate_change_per_kg!E5*34</f>
        <v>2.4340670045027428</v>
      </c>
      <c r="F5" s="4">
        <f>climate_change_per_kg!F5*34</f>
        <v>9.9140766434684851E-4</v>
      </c>
      <c r="G5" s="4">
        <f>climate_change_per_kg!G5*34</f>
        <v>2.0428848472943479</v>
      </c>
      <c r="H5" s="4">
        <f>climate_change_per_kg!H5*34</f>
        <v>4.6702832292611651</v>
      </c>
      <c r="I5" s="4">
        <f>climate_change_per_kg!I5*34</f>
        <v>4.4019358786696591E-2</v>
      </c>
      <c r="J5" s="4">
        <f>climate_change_per_kg!J5*34</f>
        <v>0</v>
      </c>
      <c r="K5" s="4">
        <f>climate_change_per_kg!K5*34</f>
        <v>2.7651406880894247</v>
      </c>
      <c r="L5" s="4">
        <f t="shared" si="0"/>
        <v>16.735838435234154</v>
      </c>
      <c r="M5" s="4">
        <f>climate_change_per_kg!M5*34</f>
        <v>12.60565159753313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4028-3522-4FAA-99F9-57399465E007}">
  <dimension ref="A1:M5"/>
  <sheetViews>
    <sheetView zoomScale="115" zoomScaleNormal="115" workbookViewId="0">
      <selection activeCell="J3" sqref="J3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4" width="9.5703125" bestFit="1" customWidth="1"/>
    <col min="5" max="5" width="20.5703125" bestFit="1" customWidth="1"/>
    <col min="6" max="6" width="20.5703125" customWidth="1"/>
    <col min="7" max="7" width="9.7109375" bestFit="1" customWidth="1"/>
    <col min="8" max="8" width="7.85546875" bestFit="1" customWidth="1"/>
    <col min="9" max="9" width="7.7109375" bestFit="1" customWidth="1"/>
    <col min="10" max="10" width="6.7109375" bestFit="1" customWidth="1"/>
    <col min="11" max="11" width="15.7109375" bestFit="1" customWidth="1"/>
    <col min="12" max="12" width="6.140625" bestFit="1" customWidth="1"/>
    <col min="13" max="13" width="12" bestFit="1" customWidth="1"/>
  </cols>
  <sheetData>
    <row r="1" spans="1:13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13</v>
      </c>
      <c r="G1" s="1" t="s">
        <v>0</v>
      </c>
      <c r="H1" s="1" t="s">
        <v>8</v>
      </c>
      <c r="I1" s="1" t="s">
        <v>9</v>
      </c>
      <c r="J1" s="1" t="s">
        <v>4</v>
      </c>
      <c r="K1" s="1" t="s">
        <v>2</v>
      </c>
      <c r="L1" s="3" t="s">
        <v>1</v>
      </c>
      <c r="M1" s="4" t="s">
        <v>12</v>
      </c>
    </row>
    <row r="2" spans="1:13" ht="18" x14ac:dyDescent="0.35">
      <c r="A2" s="2">
        <v>0</v>
      </c>
      <c r="B2" s="1" t="s">
        <v>10</v>
      </c>
      <c r="C2" s="4">
        <v>0.66966301383587246</v>
      </c>
      <c r="D2" s="4">
        <v>0</v>
      </c>
      <c r="E2" s="4">
        <v>0</v>
      </c>
      <c r="F2" s="4">
        <v>5.2915975048236277E-3</v>
      </c>
      <c r="G2" s="4">
        <v>5.6797478204711569E-3</v>
      </c>
      <c r="H2" s="4">
        <v>0</v>
      </c>
      <c r="I2" s="4">
        <v>0.10084034442435859</v>
      </c>
      <c r="J2" s="4">
        <v>3.6329860958635281E-2</v>
      </c>
      <c r="K2" s="4">
        <v>0</v>
      </c>
      <c r="L2" s="4">
        <f>SUM(C2:K2)</f>
        <v>0.81780456454416128</v>
      </c>
      <c r="M2" s="4">
        <v>0.74123231010442647</v>
      </c>
    </row>
    <row r="3" spans="1:13" ht="18" x14ac:dyDescent="0.35">
      <c r="A3" s="2">
        <f>A2+1</f>
        <v>1</v>
      </c>
      <c r="B3" s="1" t="s">
        <v>11</v>
      </c>
      <c r="C3" s="4">
        <v>0</v>
      </c>
      <c r="D3" s="4">
        <v>0.12159689975531821</v>
      </c>
      <c r="E3" s="4">
        <v>1.7534231211380544</v>
      </c>
      <c r="F3" s="4">
        <v>1.702481917214814E-4</v>
      </c>
      <c r="G3" s="4">
        <v>8.2752625114666644E-3</v>
      </c>
      <c r="H3" s="4">
        <v>1.4012332202271671E-2</v>
      </c>
      <c r="I3" s="4">
        <v>1.4292666501166196E-3</v>
      </c>
      <c r="J3" s="4">
        <v>3.6477817859021072E-2</v>
      </c>
      <c r="K3" s="4">
        <v>0</v>
      </c>
      <c r="L3" s="4">
        <f>SUM(C3:K3)</f>
        <v>1.9353849483079699</v>
      </c>
      <c r="M3" s="4">
        <v>1.9222716127473349</v>
      </c>
    </row>
    <row r="4" spans="1:13" ht="18" x14ac:dyDescent="0.35">
      <c r="A4" s="2">
        <f t="shared" ref="A4:A5" si="0">A3+1</f>
        <v>2</v>
      </c>
      <c r="B4" s="1" t="s">
        <v>10</v>
      </c>
      <c r="C4" s="4">
        <v>1.2562722534438617</v>
      </c>
      <c r="D4" s="4">
        <f t="shared" ref="D4:K4" si="1">D2</f>
        <v>0</v>
      </c>
      <c r="E4" s="4">
        <f t="shared" si="1"/>
        <v>0</v>
      </c>
      <c r="F4" s="4">
        <f>F2</f>
        <v>5.2915975048236277E-3</v>
      </c>
      <c r="G4" s="4">
        <f t="shared" si="1"/>
        <v>5.6797478204711569E-3</v>
      </c>
      <c r="H4" s="4">
        <f t="shared" si="1"/>
        <v>0</v>
      </c>
      <c r="I4" s="4">
        <f t="shared" si="1"/>
        <v>0.10084034442435859</v>
      </c>
      <c r="J4" s="4">
        <f t="shared" si="1"/>
        <v>3.6329860958635281E-2</v>
      </c>
      <c r="K4" s="4">
        <f t="shared" si="1"/>
        <v>0</v>
      </c>
      <c r="L4" s="4">
        <f>SUM(C4:K4)</f>
        <v>1.4044138041521503</v>
      </c>
      <c r="M4" s="4">
        <v>0.99399999999999999</v>
      </c>
    </row>
    <row r="5" spans="1:13" ht="18" x14ac:dyDescent="0.35">
      <c r="A5" s="2">
        <f t="shared" si="0"/>
        <v>3</v>
      </c>
      <c r="B5" s="1" t="s">
        <v>11</v>
      </c>
      <c r="C5" s="4">
        <f>C3</f>
        <v>0</v>
      </c>
      <c r="D5" s="4">
        <v>0.40893343934519616</v>
      </c>
      <c r="E5" s="4">
        <f t="shared" ref="E5:K5" si="2">E3</f>
        <v>1.7534231211380544</v>
      </c>
      <c r="F5" s="4">
        <f>F3</f>
        <v>1.702481917214814E-4</v>
      </c>
      <c r="G5" s="4">
        <f t="shared" si="2"/>
        <v>8.2752625114666644E-3</v>
      </c>
      <c r="H5" s="4">
        <f t="shared" si="2"/>
        <v>1.4012332202271671E-2</v>
      </c>
      <c r="I5" s="4">
        <f t="shared" si="2"/>
        <v>1.4292666501166196E-3</v>
      </c>
      <c r="J5" s="4">
        <f t="shared" si="2"/>
        <v>3.6477817859021072E-2</v>
      </c>
      <c r="K5" s="4">
        <f t="shared" si="2"/>
        <v>0</v>
      </c>
      <c r="L5" s="4">
        <f>SUM(C5:K5)</f>
        <v>2.2227214878978478</v>
      </c>
      <c r="M5" s="4">
        <v>2.0440955842108801</v>
      </c>
    </row>
  </sheetData>
  <conditionalFormatting sqref="L2:L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733B-5606-4623-ABA0-C76C38F9D7AD}">
  <dimension ref="A1:M5"/>
  <sheetViews>
    <sheetView zoomScale="115" zoomScaleNormal="115" workbookViewId="0">
      <selection activeCell="H13" sqref="H13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4" width="9.5703125" bestFit="1" customWidth="1"/>
    <col min="5" max="5" width="20.5703125" bestFit="1" customWidth="1"/>
    <col min="6" max="6" width="20.5703125" customWidth="1"/>
    <col min="7" max="7" width="9.7109375" bestFit="1" customWidth="1"/>
    <col min="8" max="8" width="7.85546875" bestFit="1" customWidth="1"/>
    <col min="9" max="9" width="7.7109375" bestFit="1" customWidth="1"/>
    <col min="10" max="10" width="6.7109375" bestFit="1" customWidth="1"/>
    <col min="11" max="11" width="15.7109375" bestFit="1" customWidth="1"/>
    <col min="12" max="12" width="6.140625" bestFit="1" customWidth="1"/>
    <col min="13" max="13" width="12" bestFit="1" customWidth="1"/>
  </cols>
  <sheetData>
    <row r="1" spans="1:13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13</v>
      </c>
      <c r="G1" s="1" t="s">
        <v>0</v>
      </c>
      <c r="H1" s="1" t="s">
        <v>8</v>
      </c>
      <c r="I1" s="1" t="s">
        <v>9</v>
      </c>
      <c r="J1" s="1" t="s">
        <v>4</v>
      </c>
      <c r="K1" s="1" t="s">
        <v>2</v>
      </c>
      <c r="L1" s="3" t="s">
        <v>1</v>
      </c>
      <c r="M1" s="4" t="s">
        <v>12</v>
      </c>
    </row>
    <row r="2" spans="1:13" ht="18" x14ac:dyDescent="0.35">
      <c r="A2" s="2">
        <v>0</v>
      </c>
      <c r="B2" s="1" t="s">
        <v>10</v>
      </c>
      <c r="C2" s="4">
        <v>0.6671073883010582</v>
      </c>
      <c r="D2" s="4">
        <v>0</v>
      </c>
      <c r="E2" s="4">
        <v>0</v>
      </c>
      <c r="F2" s="4">
        <v>5.2915975048236277E-3</v>
      </c>
      <c r="G2" s="4">
        <v>7.8115135902604447E-3</v>
      </c>
      <c r="H2" s="4">
        <v>0</v>
      </c>
      <c r="I2" s="4">
        <v>2.6297962074683726E-3</v>
      </c>
      <c r="J2" s="4">
        <v>6.0659301483071908E-2</v>
      </c>
      <c r="K2" s="4">
        <v>0</v>
      </c>
      <c r="L2" s="4">
        <f>SUM(C2:K2)</f>
        <v>0.74349959708668256</v>
      </c>
      <c r="M2" s="4">
        <v>0.66719821416841452</v>
      </c>
    </row>
    <row r="3" spans="1:13" ht="18" x14ac:dyDescent="0.35">
      <c r="A3" s="2">
        <f>A2+1</f>
        <v>1</v>
      </c>
      <c r="B3" s="1" t="s">
        <v>11</v>
      </c>
      <c r="C3" s="4">
        <v>0</v>
      </c>
      <c r="D3" s="4">
        <v>0.12159689975531821</v>
      </c>
      <c r="E3" s="4">
        <v>1.7534231211380544</v>
      </c>
      <c r="F3" s="4">
        <v>1.702481917214814E-4</v>
      </c>
      <c r="G3" s="4">
        <v>8.2752625114666644E-3</v>
      </c>
      <c r="H3" s="4">
        <v>1.4012332202271671E-2</v>
      </c>
      <c r="I3" s="4">
        <v>1.4292666501166196E-3</v>
      </c>
      <c r="J3" s="4">
        <v>3.6477817859021072E-2</v>
      </c>
      <c r="K3" s="4">
        <v>0</v>
      </c>
      <c r="L3" s="4">
        <f>SUM(C3:K3)</f>
        <v>1.9353849483079699</v>
      </c>
      <c r="M3" s="4">
        <v>1.9222716127473349</v>
      </c>
    </row>
    <row r="4" spans="1:13" ht="18" x14ac:dyDescent="0.35">
      <c r="A4" s="2">
        <f t="shared" ref="A4:A5" si="0">A3+1</f>
        <v>2</v>
      </c>
      <c r="B4" s="1" t="s">
        <v>10</v>
      </c>
      <c r="C4" s="4">
        <v>1.2514755326852838</v>
      </c>
      <c r="D4" s="4">
        <v>0</v>
      </c>
      <c r="E4" s="4">
        <v>0</v>
      </c>
      <c r="F4" s="4">
        <f t="shared" ref="F4:K4" si="1">F2</f>
        <v>5.2915975048236277E-3</v>
      </c>
      <c r="G4" s="4">
        <f t="shared" si="1"/>
        <v>7.8115135902604447E-3</v>
      </c>
      <c r="H4" s="4">
        <f t="shared" si="1"/>
        <v>0</v>
      </c>
      <c r="I4" s="4">
        <f t="shared" si="1"/>
        <v>2.6297962074683726E-3</v>
      </c>
      <c r="J4" s="4">
        <f t="shared" si="1"/>
        <v>6.0659301483071908E-2</v>
      </c>
      <c r="K4" s="4">
        <f t="shared" si="1"/>
        <v>0</v>
      </c>
      <c r="L4" s="4">
        <f>SUM(C4:K4)</f>
        <v>1.3278677414709081</v>
      </c>
      <c r="M4" s="4">
        <v>0.91879092271573126</v>
      </c>
    </row>
    <row r="5" spans="1:13" ht="18" x14ac:dyDescent="0.35">
      <c r="A5" s="2">
        <f t="shared" si="0"/>
        <v>3</v>
      </c>
      <c r="B5" s="1" t="s">
        <v>11</v>
      </c>
      <c r="C5" s="4">
        <f>C3</f>
        <v>0</v>
      </c>
      <c r="D5" s="4">
        <v>0.40893343934519616</v>
      </c>
      <c r="E5" s="4">
        <f t="shared" ref="E5:K5" si="2">E3</f>
        <v>1.7534231211380544</v>
      </c>
      <c r="F5" s="4">
        <f>F3</f>
        <v>1.702481917214814E-4</v>
      </c>
      <c r="G5" s="4">
        <f t="shared" si="2"/>
        <v>8.2752625114666644E-3</v>
      </c>
      <c r="H5" s="4">
        <f t="shared" si="2"/>
        <v>1.4012332202271671E-2</v>
      </c>
      <c r="I5" s="4">
        <f t="shared" si="2"/>
        <v>1.4292666501166196E-3</v>
      </c>
      <c r="J5" s="4">
        <f t="shared" si="2"/>
        <v>3.6477817859021072E-2</v>
      </c>
      <c r="K5" s="4">
        <f t="shared" si="2"/>
        <v>0</v>
      </c>
      <c r="L5" s="4">
        <f>SUM(C5:K5)</f>
        <v>2.2227214878978478</v>
      </c>
      <c r="M5" s="4">
        <v>2.0440955842108801</v>
      </c>
    </row>
  </sheetData>
  <conditionalFormatting sqref="L2:L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E57B-C6C4-4C8F-87BD-5D0F378C4184}">
  <dimension ref="A1:M7"/>
  <sheetViews>
    <sheetView tabSelected="1" zoomScale="115" zoomScaleNormal="115" workbookViewId="0">
      <selection activeCell="Q17" sqref="Q17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4" width="9.5703125" bestFit="1" customWidth="1"/>
    <col min="5" max="5" width="20.5703125" bestFit="1" customWidth="1"/>
    <col min="6" max="6" width="20.5703125" customWidth="1"/>
    <col min="7" max="7" width="9.7109375" bestFit="1" customWidth="1"/>
    <col min="8" max="8" width="7.85546875" bestFit="1" customWidth="1"/>
    <col min="9" max="9" width="7.7109375" bestFit="1" customWidth="1"/>
    <col min="10" max="10" width="6.7109375" bestFit="1" customWidth="1"/>
    <col min="11" max="11" width="15.7109375" bestFit="1" customWidth="1"/>
    <col min="12" max="12" width="6.140625" bestFit="1" customWidth="1"/>
    <col min="13" max="13" width="12" bestFit="1" customWidth="1"/>
  </cols>
  <sheetData>
    <row r="1" spans="1:13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13</v>
      </c>
      <c r="G1" s="1" t="s">
        <v>0</v>
      </c>
      <c r="H1" s="1" t="s">
        <v>8</v>
      </c>
      <c r="I1" s="1" t="s">
        <v>9</v>
      </c>
      <c r="J1" s="1" t="s">
        <v>4</v>
      </c>
      <c r="K1" s="1" t="s">
        <v>2</v>
      </c>
      <c r="L1" s="3" t="s">
        <v>1</v>
      </c>
      <c r="M1" s="4" t="s">
        <v>12</v>
      </c>
    </row>
    <row r="2" spans="1:13" ht="18" x14ac:dyDescent="0.35">
      <c r="A2" s="2">
        <v>0</v>
      </c>
      <c r="B2" s="1" t="s">
        <v>25</v>
      </c>
      <c r="C2" s="4">
        <v>0.59594290912072501</v>
      </c>
      <c r="D2" s="4">
        <v>0</v>
      </c>
      <c r="E2" s="4">
        <v>0</v>
      </c>
      <c r="F2" s="4">
        <v>5.2915975048236277E-3</v>
      </c>
      <c r="G2" s="4">
        <v>4.2884463326403272E-3</v>
      </c>
      <c r="H2" s="4">
        <v>0</v>
      </c>
      <c r="I2" s="4">
        <v>2.3076491060444785E-3</v>
      </c>
      <c r="J2" s="4">
        <v>3.2696428543135606E-2</v>
      </c>
      <c r="K2" s="4">
        <v>0</v>
      </c>
      <c r="L2" s="4">
        <f>SUM(C2:K2)</f>
        <v>0.64052703060736915</v>
      </c>
      <c r="M2" s="4">
        <v>0.57199999999999995</v>
      </c>
    </row>
    <row r="3" spans="1:13" ht="18" x14ac:dyDescent="0.35">
      <c r="A3" s="2">
        <f>A2+1</f>
        <v>1</v>
      </c>
      <c r="B3" s="1" t="s">
        <v>10</v>
      </c>
      <c r="C3" s="4">
        <v>0.6671073883010582</v>
      </c>
      <c r="D3" s="4">
        <v>0</v>
      </c>
      <c r="E3" s="4">
        <v>0</v>
      </c>
      <c r="F3" s="4">
        <v>5.2915975048236277E-3</v>
      </c>
      <c r="G3" s="4">
        <v>7.8115135902604447E-3</v>
      </c>
      <c r="H3" s="4">
        <v>0</v>
      </c>
      <c r="I3" s="4">
        <v>2.6297962074683726E-3</v>
      </c>
      <c r="J3" s="4">
        <v>6.0659301483071908E-2</v>
      </c>
      <c r="K3" s="4">
        <v>0</v>
      </c>
      <c r="L3" s="4">
        <f>SUM(C3:K3)</f>
        <v>0.74349959708668256</v>
      </c>
      <c r="M3" s="4">
        <v>0.66719821416841452</v>
      </c>
    </row>
    <row r="4" spans="1:13" ht="18" x14ac:dyDescent="0.35">
      <c r="A4" s="2">
        <f>A3+1</f>
        <v>2</v>
      </c>
      <c r="B4" s="1" t="s">
        <v>11</v>
      </c>
      <c r="C4" s="4">
        <v>0</v>
      </c>
      <c r="D4" s="4">
        <v>0.12159689975531821</v>
      </c>
      <c r="E4" s="4">
        <v>1.7534231211380544</v>
      </c>
      <c r="F4" s="4">
        <v>1.702481917214814E-4</v>
      </c>
      <c r="G4" s="4">
        <v>8.2752625114666644E-3</v>
      </c>
      <c r="H4" s="4">
        <v>1.4012332202271671E-2</v>
      </c>
      <c r="I4" s="4">
        <v>1.4292666501166196E-3</v>
      </c>
      <c r="J4" s="4">
        <v>3.6477817859021072E-2</v>
      </c>
      <c r="K4" s="4">
        <v>0</v>
      </c>
      <c r="L4" s="4">
        <f>SUM(C4:K4)</f>
        <v>1.9353849483079699</v>
      </c>
      <c r="M4" s="4">
        <v>1.9222716127473349</v>
      </c>
    </row>
    <row r="5" spans="1:13" ht="18" x14ac:dyDescent="0.35">
      <c r="A5" s="2">
        <f>A4+1</f>
        <v>3</v>
      </c>
      <c r="B5" s="1" t="s">
        <v>25</v>
      </c>
      <c r="C5" s="4">
        <v>1.1179750499830865</v>
      </c>
      <c r="D5" s="4">
        <v>0</v>
      </c>
      <c r="E5" s="4">
        <v>0</v>
      </c>
      <c r="F5" s="4">
        <v>5.2915975048236277E-3</v>
      </c>
      <c r="G5" s="4">
        <v>4.2884463326403272E-3</v>
      </c>
      <c r="H5" s="4">
        <v>0</v>
      </c>
      <c r="I5" s="4">
        <v>2.3076491060444785E-3</v>
      </c>
      <c r="J5" s="4">
        <v>3.2696428543135606E-2</v>
      </c>
      <c r="K5" s="4">
        <v>0</v>
      </c>
      <c r="L5" s="4">
        <f>SUM(C5:K5)</f>
        <v>1.1625591714697305</v>
      </c>
      <c r="M5" s="4">
        <v>0.79700000000000004</v>
      </c>
    </row>
    <row r="6" spans="1:13" ht="18" x14ac:dyDescent="0.35">
      <c r="A6" s="2">
        <f>A5+1</f>
        <v>4</v>
      </c>
      <c r="B6" s="1" t="s">
        <v>10</v>
      </c>
      <c r="C6" s="4">
        <v>1.2514755326852838</v>
      </c>
      <c r="D6" s="4">
        <v>0</v>
      </c>
      <c r="E6" s="4">
        <v>0</v>
      </c>
      <c r="F6" s="4">
        <f t="shared" ref="F6:K6" si="0">F3</f>
        <v>5.2915975048236277E-3</v>
      </c>
      <c r="G6" s="4">
        <f t="shared" si="0"/>
        <v>7.8115135902604447E-3</v>
      </c>
      <c r="H6" s="4">
        <f t="shared" si="0"/>
        <v>0</v>
      </c>
      <c r="I6" s="4">
        <f t="shared" si="0"/>
        <v>2.6297962074683726E-3</v>
      </c>
      <c r="J6" s="4">
        <f t="shared" si="0"/>
        <v>6.0659301483071908E-2</v>
      </c>
      <c r="K6" s="4">
        <f t="shared" si="0"/>
        <v>0</v>
      </c>
      <c r="L6" s="4">
        <f>SUM(C6:K6)</f>
        <v>1.3278677414709081</v>
      </c>
      <c r="M6" s="4">
        <v>0.91879092271573126</v>
      </c>
    </row>
    <row r="7" spans="1:13" ht="18" x14ac:dyDescent="0.35">
      <c r="A7" s="2">
        <f>A6+1</f>
        <v>5</v>
      </c>
      <c r="B7" s="1" t="s">
        <v>11</v>
      </c>
      <c r="C7" s="4">
        <f>C4</f>
        <v>0</v>
      </c>
      <c r="D7" s="4">
        <v>0.40893343934519616</v>
      </c>
      <c r="E7" s="4">
        <f t="shared" ref="E7:K7" si="1">E4</f>
        <v>1.7534231211380544</v>
      </c>
      <c r="F7" s="4">
        <f>F4</f>
        <v>1.702481917214814E-4</v>
      </c>
      <c r="G7" s="4">
        <f t="shared" si="1"/>
        <v>8.2752625114666644E-3</v>
      </c>
      <c r="H7" s="4">
        <f t="shared" si="1"/>
        <v>1.4012332202271671E-2</v>
      </c>
      <c r="I7" s="4">
        <f t="shared" si="1"/>
        <v>1.4292666501166196E-3</v>
      </c>
      <c r="J7" s="4">
        <f t="shared" si="1"/>
        <v>3.6477817859021072E-2</v>
      </c>
      <c r="K7" s="4">
        <f t="shared" si="1"/>
        <v>0</v>
      </c>
      <c r="L7" s="4">
        <f>SUM(C7:K7)</f>
        <v>2.2227214878978478</v>
      </c>
      <c r="M7" s="4">
        <v>2.0440955842108801</v>
      </c>
    </row>
  </sheetData>
  <conditionalFormatting sqref="L3:L4 L6:L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4 M6:M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M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59D4-EFB5-4206-AC6D-A6C0FCAFBA21}">
  <dimension ref="A1:M5"/>
  <sheetViews>
    <sheetView zoomScale="115" zoomScaleNormal="115" workbookViewId="0">
      <selection activeCell="L10" sqref="L10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4" width="9.5703125" bestFit="1" customWidth="1"/>
    <col min="5" max="5" width="20.5703125" bestFit="1" customWidth="1"/>
    <col min="6" max="6" width="20.5703125" customWidth="1"/>
    <col min="7" max="7" width="9.7109375" bestFit="1" customWidth="1"/>
    <col min="8" max="8" width="7.85546875" bestFit="1" customWidth="1"/>
    <col min="9" max="9" width="7.7109375" bestFit="1" customWidth="1"/>
    <col min="10" max="10" width="6.7109375" bestFit="1" customWidth="1"/>
    <col min="11" max="11" width="15.7109375" bestFit="1" customWidth="1"/>
    <col min="12" max="12" width="7.28515625" bestFit="1" customWidth="1"/>
    <col min="13" max="13" width="12" bestFit="1" customWidth="1"/>
  </cols>
  <sheetData>
    <row r="1" spans="1:13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13</v>
      </c>
      <c r="G1" s="1" t="s">
        <v>0</v>
      </c>
      <c r="H1" s="1" t="s">
        <v>8</v>
      </c>
      <c r="I1" s="1" t="s">
        <v>9</v>
      </c>
      <c r="J1" s="1" t="s">
        <v>4</v>
      </c>
      <c r="K1" s="1" t="s">
        <v>2</v>
      </c>
      <c r="L1" s="3" t="s">
        <v>1</v>
      </c>
      <c r="M1" s="5" t="s">
        <v>12</v>
      </c>
    </row>
    <row r="2" spans="1:13" ht="18" x14ac:dyDescent="0.35">
      <c r="A2" s="2">
        <v>0</v>
      </c>
      <c r="B2" s="1" t="s">
        <v>10</v>
      </c>
      <c r="C2" s="4">
        <f>economics_per_kg!C2*44</f>
        <v>29.465172608778389</v>
      </c>
      <c r="D2" s="4">
        <f>economics_per_kg!D2*44</f>
        <v>0</v>
      </c>
      <c r="E2" s="4">
        <f>economics_per_kg!E2*44</f>
        <v>0</v>
      </c>
      <c r="F2" s="4">
        <f>economics_per_kg!F2*44</f>
        <v>0.23283029021223961</v>
      </c>
      <c r="G2" s="4">
        <f>economics_per_kg!G2*44</f>
        <v>0.24990890410073091</v>
      </c>
      <c r="H2" s="4">
        <f>economics_per_kg!H2*44</f>
        <v>0</v>
      </c>
      <c r="I2" s="4">
        <f>economics_per_kg!I2*44</f>
        <v>4.4369751546717779</v>
      </c>
      <c r="J2" s="4">
        <f>economics_per_kg!J2*44</f>
        <v>1.5985138821799523</v>
      </c>
      <c r="K2" s="4">
        <f>economics_per_kg!K2*44</f>
        <v>0</v>
      </c>
      <c r="L2" s="4">
        <f>SUM(C2:K2)</f>
        <v>35.983400839943087</v>
      </c>
      <c r="M2" s="4">
        <f>economics_per_kg!M2*44</f>
        <v>32.614221644594764</v>
      </c>
    </row>
    <row r="3" spans="1:13" ht="18" x14ac:dyDescent="0.35">
      <c r="A3" s="2">
        <f>A2+1</f>
        <v>1</v>
      </c>
      <c r="B3" s="1" t="s">
        <v>11</v>
      </c>
      <c r="C3" s="4">
        <f>economics_per_kg!C3*34</f>
        <v>0</v>
      </c>
      <c r="D3" s="4">
        <f>economics_per_kg!D3*34</f>
        <v>4.1342945916808187</v>
      </c>
      <c r="E3" s="4">
        <f>economics_per_kg!E3*34</f>
        <v>59.616386118693853</v>
      </c>
      <c r="F3" s="4">
        <f>economics_per_kg!F3*34</f>
        <v>5.7884385185303679E-3</v>
      </c>
      <c r="G3" s="4">
        <f>economics_per_kg!G3*34</f>
        <v>0.28135892538986657</v>
      </c>
      <c r="H3" s="4">
        <f>economics_per_kg!H3*34</f>
        <v>0.47641929487723678</v>
      </c>
      <c r="I3" s="4">
        <f>economics_per_kg!I3*34</f>
        <v>4.8595066103965065E-2</v>
      </c>
      <c r="J3" s="4">
        <f>economics_per_kg!J3*34</f>
        <v>1.2402458072067164</v>
      </c>
      <c r="K3" s="4">
        <f>economics_per_kg!K3*34</f>
        <v>0</v>
      </c>
      <c r="L3" s="4">
        <f t="shared" ref="L3:L5" si="0">SUM(C3:K3)</f>
        <v>65.803088242470992</v>
      </c>
      <c r="M3" s="4">
        <f>economics_per_kg!M3*34</f>
        <v>65.357234833409393</v>
      </c>
    </row>
    <row r="4" spans="1:13" ht="18" x14ac:dyDescent="0.35">
      <c r="A4" s="2">
        <f t="shared" ref="A4:A5" si="1">A3+1</f>
        <v>2</v>
      </c>
      <c r="B4" s="1" t="s">
        <v>10</v>
      </c>
      <c r="C4" s="4">
        <f>economics_per_kg!C4*44</f>
        <v>55.275979151529917</v>
      </c>
      <c r="D4" s="4">
        <f>economics_per_kg!D4*44</f>
        <v>0</v>
      </c>
      <c r="E4" s="4">
        <f>economics_per_kg!E4*44</f>
        <v>0</v>
      </c>
      <c r="F4" s="4">
        <f>economics_per_kg!F4*44</f>
        <v>0.23283029021223961</v>
      </c>
      <c r="G4" s="4">
        <f>economics_per_kg!G4*44</f>
        <v>0.24990890410073091</v>
      </c>
      <c r="H4" s="4">
        <f>economics_per_kg!H4*44</f>
        <v>0</v>
      </c>
      <c r="I4" s="4">
        <f>economics_per_kg!I4*44</f>
        <v>4.4369751546717779</v>
      </c>
      <c r="J4" s="4">
        <f>economics_per_kg!J4*44</f>
        <v>1.5985138821799523</v>
      </c>
      <c r="K4" s="4">
        <f>economics_per_kg!K4*44</f>
        <v>0</v>
      </c>
      <c r="L4" s="4">
        <f t="shared" si="0"/>
        <v>61.794207382694616</v>
      </c>
      <c r="M4" s="4">
        <f>economics_per_kg!M4*44</f>
        <v>43.735999999999997</v>
      </c>
    </row>
    <row r="5" spans="1:13" ht="18" x14ac:dyDescent="0.35">
      <c r="A5" s="2">
        <f t="shared" si="1"/>
        <v>3</v>
      </c>
      <c r="B5" s="1" t="s">
        <v>11</v>
      </c>
      <c r="C5" s="4">
        <f>economics_per_kg!C5*34</f>
        <v>0</v>
      </c>
      <c r="D5" s="4">
        <f>economics_per_kg!D5*34</f>
        <v>13.903736937736669</v>
      </c>
      <c r="E5" s="4">
        <f>economics_per_kg!E5*34</f>
        <v>59.616386118693853</v>
      </c>
      <c r="F5" s="4">
        <f>economics_per_kg!F5*34</f>
        <v>5.7884385185303679E-3</v>
      </c>
      <c r="G5" s="4">
        <f>economics_per_kg!G5*34</f>
        <v>0.28135892538986657</v>
      </c>
      <c r="H5" s="4">
        <f>economics_per_kg!H5*34</f>
        <v>0.47641929487723678</v>
      </c>
      <c r="I5" s="4">
        <f>economics_per_kg!I5*34</f>
        <v>4.8595066103965065E-2</v>
      </c>
      <c r="J5" s="4">
        <f>economics_per_kg!J5*34</f>
        <v>1.2402458072067164</v>
      </c>
      <c r="K5" s="4">
        <f>economics_per_kg!K5*34</f>
        <v>0</v>
      </c>
      <c r="L5" s="4">
        <f t="shared" si="0"/>
        <v>75.572530588526845</v>
      </c>
      <c r="M5" s="4">
        <f>economics_per_kg!M5*34</f>
        <v>69.499249863169922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E658-F018-4461-AFFF-8AD7659AD372}">
  <dimension ref="A1:I37"/>
  <sheetViews>
    <sheetView workbookViewId="0">
      <selection activeCell="I26" sqref="I26"/>
    </sheetView>
  </sheetViews>
  <sheetFormatPr defaultRowHeight="15" x14ac:dyDescent="0.25"/>
  <cols>
    <col min="1" max="1" width="24.7109375" bestFit="1" customWidth="1"/>
    <col min="2" max="2" width="9.28515625" bestFit="1" customWidth="1"/>
    <col min="7" max="7" width="25.140625" bestFit="1" customWidth="1"/>
    <col min="8" max="8" width="7.5703125" bestFit="1" customWidth="1"/>
    <col min="9" max="9" width="12" bestFit="1" customWidth="1"/>
  </cols>
  <sheetData>
    <row r="1" spans="1:9" x14ac:dyDescent="0.25">
      <c r="A1" s="8" t="s">
        <v>17</v>
      </c>
      <c r="B1" s="8" t="s">
        <v>14</v>
      </c>
      <c r="C1" s="8" t="s">
        <v>15</v>
      </c>
      <c r="D1" s="8"/>
      <c r="E1" s="8"/>
      <c r="G1" s="8" t="s">
        <v>18</v>
      </c>
      <c r="H1" s="8" t="s">
        <v>14</v>
      </c>
      <c r="I1" s="8" t="s">
        <v>15</v>
      </c>
    </row>
    <row r="2" spans="1:9" x14ac:dyDescent="0.25">
      <c r="A2" s="6">
        <v>1</v>
      </c>
      <c r="B2" s="9">
        <v>2.8211916911436781</v>
      </c>
      <c r="C2" s="9">
        <v>0.63523543310254549</v>
      </c>
      <c r="G2" s="6">
        <v>1</v>
      </c>
      <c r="H2" s="9">
        <v>0.70255945930524477</v>
      </c>
      <c r="I2" s="9">
        <v>1.157267573964907</v>
      </c>
    </row>
    <row r="3" spans="1:9" x14ac:dyDescent="0.25">
      <c r="A3" s="6">
        <v>0.88700000000000001</v>
      </c>
      <c r="B3" s="9">
        <f>climate_change_per_kg!L2</f>
        <v>4.1788739818746503</v>
      </c>
      <c r="C3" s="9">
        <f>economics_per_kg!L2</f>
        <v>0.81780456454416128</v>
      </c>
      <c r="G3" s="6">
        <v>0.88700000000000001</v>
      </c>
      <c r="H3" s="9">
        <f>climate_change_per_kg!L4</f>
        <v>1.7981651774478364</v>
      </c>
      <c r="I3" s="9">
        <f>economics_per_kg!L4</f>
        <v>1.4044138041521503</v>
      </c>
    </row>
    <row r="4" spans="1:9" x14ac:dyDescent="0.25">
      <c r="A4" s="7" t="s">
        <v>16</v>
      </c>
      <c r="B4" s="9">
        <f>climate_change_NS_per_kg!L2</f>
        <v>3.2084825673819584</v>
      </c>
      <c r="C4" s="9">
        <f>economics_NS_per_kg!L2</f>
        <v>0.74349959708668256</v>
      </c>
      <c r="G4" s="7" t="s">
        <v>16</v>
      </c>
      <c r="H4" s="9">
        <f>climate_change_NS_per_kg!L4</f>
        <v>0.83685857087033899</v>
      </c>
      <c r="I4" s="9">
        <f>economics_NS_per_kg!L4</f>
        <v>1.3278677414709081</v>
      </c>
    </row>
    <row r="6" spans="1:9" x14ac:dyDescent="0.25">
      <c r="A6" s="8" t="s">
        <v>20</v>
      </c>
      <c r="B6" s="8" t="s">
        <v>14</v>
      </c>
      <c r="C6" s="8" t="s">
        <v>15</v>
      </c>
      <c r="D6" s="8"/>
      <c r="E6" s="8"/>
      <c r="G6" s="8" t="s">
        <v>19</v>
      </c>
      <c r="H6" s="8" t="s">
        <v>14</v>
      </c>
      <c r="I6" s="8" t="s">
        <v>15</v>
      </c>
    </row>
    <row r="7" spans="1:9" x14ac:dyDescent="0.25">
      <c r="A7" s="10"/>
      <c r="B7" s="9">
        <f>climate_change_per_kg!L3</f>
        <v>1.2857126129625069</v>
      </c>
      <c r="C7" s="9">
        <f>economics_per_kg!L3</f>
        <v>1.9353849483079699</v>
      </c>
      <c r="D7" s="9"/>
      <c r="E7" s="9"/>
      <c r="F7" s="9"/>
      <c r="G7" s="9"/>
      <c r="H7" s="9">
        <f>climate_change_per_kg!L5</f>
        <v>0.49223054221276918</v>
      </c>
      <c r="I7" s="9">
        <f>economics_NS_per_kg!M5</f>
        <v>2.0440955842108801</v>
      </c>
    </row>
    <row r="9" spans="1:9" x14ac:dyDescent="0.25">
      <c r="A9" s="15" t="s">
        <v>23</v>
      </c>
      <c r="B9" s="15"/>
      <c r="C9" s="15"/>
      <c r="D9" s="15"/>
      <c r="E9" s="15"/>
      <c r="F9" s="15"/>
      <c r="G9" s="15"/>
      <c r="H9" s="15"/>
      <c r="I9" s="15"/>
    </row>
    <row r="10" spans="1:9" x14ac:dyDescent="0.25">
      <c r="A10" s="13" t="s">
        <v>21</v>
      </c>
      <c r="B10" s="8" t="s">
        <v>14</v>
      </c>
      <c r="C10" s="8" t="s">
        <v>15</v>
      </c>
      <c r="G10" s="14" t="s">
        <v>22</v>
      </c>
      <c r="H10" s="8" t="s">
        <v>14</v>
      </c>
      <c r="I10" s="8" t="s">
        <v>15</v>
      </c>
    </row>
    <row r="11" spans="1:9" x14ac:dyDescent="0.25">
      <c r="A11" s="11">
        <v>50</v>
      </c>
      <c r="B11" s="9">
        <f t="shared" ref="B11:B22" si="0">-12.015*A11/100+14.836</f>
        <v>8.8285</v>
      </c>
      <c r="C11" s="9">
        <f>-1.6157*A11/100+2.2509</f>
        <v>1.4430500000000002</v>
      </c>
      <c r="G11" s="11">
        <v>50</v>
      </c>
      <c r="H11" s="9">
        <f>-3.4274*G11/100+6.2485</f>
        <v>4.5347999999999997</v>
      </c>
      <c r="I11" s="9">
        <f>-0.9581*G11/100+1.5933</f>
        <v>1.11425</v>
      </c>
    </row>
    <row r="12" spans="1:9" x14ac:dyDescent="0.25">
      <c r="A12" s="11">
        <v>55</v>
      </c>
      <c r="B12" s="9">
        <f t="shared" si="0"/>
        <v>8.2277500000000003</v>
      </c>
      <c r="C12" s="9">
        <f t="shared" ref="C12:C22" si="1">-1.6157*A12/100+2.2509</f>
        <v>1.3622650000000001</v>
      </c>
      <c r="G12" s="11">
        <v>55</v>
      </c>
      <c r="H12" s="9">
        <f t="shared" ref="H12:H22" si="2">-3.4274*G12/100+6.2485</f>
        <v>4.3634300000000001</v>
      </c>
      <c r="I12" s="9">
        <f t="shared" ref="I12:I22" si="3">-0.9581*G12/100+1.5933</f>
        <v>1.0663450000000001</v>
      </c>
    </row>
    <row r="13" spans="1:9" x14ac:dyDescent="0.25">
      <c r="A13" s="11">
        <v>60</v>
      </c>
      <c r="B13" s="9">
        <f t="shared" si="0"/>
        <v>7.6269999999999998</v>
      </c>
      <c r="C13" s="9">
        <f t="shared" si="1"/>
        <v>1.2814800000000002</v>
      </c>
      <c r="G13" s="11">
        <v>60</v>
      </c>
      <c r="H13" s="9">
        <f t="shared" si="2"/>
        <v>4.1920599999999997</v>
      </c>
      <c r="I13" s="9">
        <f t="shared" si="3"/>
        <v>1.01844</v>
      </c>
    </row>
    <row r="14" spans="1:9" x14ac:dyDescent="0.25">
      <c r="A14" s="11">
        <v>65</v>
      </c>
      <c r="B14" s="9">
        <f t="shared" si="0"/>
        <v>7.0262500000000001</v>
      </c>
      <c r="C14" s="9">
        <f t="shared" si="1"/>
        <v>1.2006950000000001</v>
      </c>
      <c r="G14" s="11">
        <v>65</v>
      </c>
      <c r="H14" s="9">
        <f t="shared" si="2"/>
        <v>4.0206900000000001</v>
      </c>
      <c r="I14" s="9">
        <f t="shared" si="3"/>
        <v>0.97053499999999993</v>
      </c>
    </row>
    <row r="15" spans="1:9" x14ac:dyDescent="0.25">
      <c r="A15" s="11">
        <v>70</v>
      </c>
      <c r="B15" s="9">
        <f t="shared" si="0"/>
        <v>6.4254999999999995</v>
      </c>
      <c r="C15" s="9">
        <f t="shared" si="1"/>
        <v>1.1199100000000002</v>
      </c>
      <c r="G15" s="11">
        <v>70</v>
      </c>
      <c r="H15" s="9">
        <f t="shared" si="2"/>
        <v>3.8493200000000001</v>
      </c>
      <c r="I15" s="9">
        <f t="shared" si="3"/>
        <v>0.92263000000000006</v>
      </c>
    </row>
    <row r="16" spans="1:9" x14ac:dyDescent="0.25">
      <c r="A16" s="11">
        <v>75</v>
      </c>
      <c r="B16" s="9">
        <f t="shared" si="0"/>
        <v>5.8247499999999999</v>
      </c>
      <c r="C16" s="9">
        <f t="shared" si="1"/>
        <v>1.0391250000000001</v>
      </c>
      <c r="G16" s="11">
        <v>75</v>
      </c>
      <c r="H16" s="9">
        <f t="shared" si="2"/>
        <v>3.6779500000000001</v>
      </c>
      <c r="I16" s="9">
        <f t="shared" si="3"/>
        <v>0.87472499999999997</v>
      </c>
    </row>
    <row r="17" spans="1:9" x14ac:dyDescent="0.25">
      <c r="A17" s="11">
        <v>80</v>
      </c>
      <c r="B17" s="9">
        <f t="shared" si="0"/>
        <v>5.2240000000000002</v>
      </c>
      <c r="C17" s="9">
        <f t="shared" si="1"/>
        <v>0.95834000000000019</v>
      </c>
      <c r="G17" s="11">
        <v>80</v>
      </c>
      <c r="H17" s="9">
        <f t="shared" si="2"/>
        <v>3.50658</v>
      </c>
      <c r="I17" s="9">
        <f t="shared" si="3"/>
        <v>0.82682</v>
      </c>
    </row>
    <row r="18" spans="1:9" x14ac:dyDescent="0.25">
      <c r="A18" s="11">
        <v>85</v>
      </c>
      <c r="B18" s="9">
        <f t="shared" si="0"/>
        <v>4.6232499999999987</v>
      </c>
      <c r="C18" s="9">
        <f t="shared" si="1"/>
        <v>0.87755500000000031</v>
      </c>
      <c r="G18" s="11">
        <v>85</v>
      </c>
      <c r="H18" s="9">
        <f t="shared" si="2"/>
        <v>3.33521</v>
      </c>
      <c r="I18" s="9">
        <f t="shared" si="3"/>
        <v>0.77891500000000002</v>
      </c>
    </row>
    <row r="19" spans="1:9" x14ac:dyDescent="0.25">
      <c r="A19" s="11">
        <v>90</v>
      </c>
      <c r="B19" s="9">
        <f t="shared" si="0"/>
        <v>4.0224999999999991</v>
      </c>
      <c r="C19" s="9">
        <f t="shared" si="1"/>
        <v>0.7967700000000002</v>
      </c>
      <c r="G19" s="11">
        <v>90</v>
      </c>
      <c r="H19" s="9">
        <f t="shared" si="2"/>
        <v>3.16384</v>
      </c>
      <c r="I19" s="9">
        <f t="shared" si="3"/>
        <v>0.73100999999999994</v>
      </c>
    </row>
    <row r="20" spans="1:9" x14ac:dyDescent="0.25">
      <c r="A20" s="11">
        <v>95</v>
      </c>
      <c r="B20" s="9">
        <f t="shared" si="0"/>
        <v>3.4217500000000012</v>
      </c>
      <c r="C20" s="9">
        <f t="shared" si="1"/>
        <v>0.71598500000000009</v>
      </c>
      <c r="G20" s="11">
        <v>95</v>
      </c>
      <c r="H20" s="9">
        <f t="shared" si="2"/>
        <v>2.99247</v>
      </c>
      <c r="I20" s="9">
        <f t="shared" si="3"/>
        <v>0.68310499999999996</v>
      </c>
    </row>
    <row r="21" spans="1:9" x14ac:dyDescent="0.25">
      <c r="A21" s="11">
        <v>100</v>
      </c>
      <c r="B21" s="9">
        <f t="shared" si="0"/>
        <v>2.8209999999999997</v>
      </c>
      <c r="C21" s="9">
        <f t="shared" si="1"/>
        <v>0.63520000000000021</v>
      </c>
      <c r="G21" s="11">
        <v>100</v>
      </c>
      <c r="H21" s="9">
        <f t="shared" si="2"/>
        <v>2.8210999999999999</v>
      </c>
      <c r="I21" s="9">
        <f t="shared" si="3"/>
        <v>0.63519999999999988</v>
      </c>
    </row>
    <row r="22" spans="1:9" x14ac:dyDescent="0.25">
      <c r="A22" s="12">
        <v>112.77569704535995</v>
      </c>
      <c r="B22" s="9">
        <f t="shared" si="0"/>
        <v>1.2860000000000031</v>
      </c>
      <c r="C22" s="9">
        <f t="shared" si="1"/>
        <v>0.42878306283811951</v>
      </c>
      <c r="G22" s="12">
        <v>144.7890529264165</v>
      </c>
      <c r="H22" s="9">
        <f t="shared" si="2"/>
        <v>1.2860000000000005</v>
      </c>
      <c r="I22" s="9">
        <f t="shared" si="3"/>
        <v>0.20607608391200349</v>
      </c>
    </row>
    <row r="24" spans="1:9" x14ac:dyDescent="0.25">
      <c r="A24" s="15" t="s">
        <v>24</v>
      </c>
      <c r="B24" s="15"/>
      <c r="C24" s="15"/>
      <c r="D24" s="15"/>
      <c r="E24" s="15"/>
      <c r="F24" s="15"/>
      <c r="G24" s="15"/>
      <c r="H24" s="15"/>
      <c r="I24" s="15"/>
    </row>
    <row r="25" spans="1:9" x14ac:dyDescent="0.25">
      <c r="A25" s="13" t="s">
        <v>21</v>
      </c>
      <c r="B25" s="8" t="s">
        <v>14</v>
      </c>
      <c r="C25" s="8" t="s">
        <v>15</v>
      </c>
      <c r="G25" s="14" t="s">
        <v>22</v>
      </c>
      <c r="H25" s="8" t="s">
        <v>14</v>
      </c>
      <c r="I25" s="8" t="s">
        <v>15</v>
      </c>
    </row>
    <row r="26" spans="1:9" x14ac:dyDescent="0.25">
      <c r="A26" s="11">
        <v>50</v>
      </c>
      <c r="B26" s="9">
        <f>-9.6956*A26/100+10.398</f>
        <v>5.5501999999999994</v>
      </c>
      <c r="C26" s="9">
        <f>-2.1871*A26/100+3.3444</f>
        <v>2.2508499999999998</v>
      </c>
      <c r="G26" s="11">
        <v>50</v>
      </c>
      <c r="H26" s="9">
        <f>-1.1885*G26/100+1.891</f>
        <v>1.2967500000000001</v>
      </c>
      <c r="I26" s="9">
        <f>-1.5097*G26/100+2.667</f>
        <v>1.9121499999999998</v>
      </c>
    </row>
    <row r="27" spans="1:9" x14ac:dyDescent="0.25">
      <c r="A27" s="11">
        <v>55</v>
      </c>
      <c r="B27" s="9">
        <f t="shared" ref="B27:B37" si="4">-9.6956*A27/100+10.398</f>
        <v>5.0654199999999996</v>
      </c>
      <c r="C27" s="9">
        <f t="shared" ref="C27:C37" si="5">-2.1871*A27/100+3.3444</f>
        <v>2.1414949999999999</v>
      </c>
      <c r="G27" s="11">
        <v>55</v>
      </c>
      <c r="H27" s="9">
        <f t="shared" ref="H27:H37" si="6">-1.1885*G27/100+1.891</f>
        <v>1.2373250000000002</v>
      </c>
      <c r="I27" s="9">
        <f t="shared" ref="I27:I37" si="7">-1.5097*G27/100+2.667</f>
        <v>1.8366649999999998</v>
      </c>
    </row>
    <row r="28" spans="1:9" x14ac:dyDescent="0.25">
      <c r="A28" s="11">
        <v>60</v>
      </c>
      <c r="B28" s="9">
        <f t="shared" si="4"/>
        <v>4.5806399999999998</v>
      </c>
      <c r="C28" s="9">
        <f t="shared" si="5"/>
        <v>2.0321400000000001</v>
      </c>
      <c r="G28" s="11">
        <v>60</v>
      </c>
      <c r="H28" s="9">
        <f t="shared" si="6"/>
        <v>1.1779000000000002</v>
      </c>
      <c r="I28" s="9">
        <f t="shared" si="7"/>
        <v>1.7611799999999997</v>
      </c>
    </row>
    <row r="29" spans="1:9" x14ac:dyDescent="0.25">
      <c r="A29" s="11">
        <v>65</v>
      </c>
      <c r="B29" s="9">
        <f t="shared" si="4"/>
        <v>4.0958599999999992</v>
      </c>
      <c r="C29" s="9">
        <f t="shared" si="5"/>
        <v>1.922785</v>
      </c>
      <c r="G29" s="11">
        <v>65</v>
      </c>
      <c r="H29" s="9">
        <f t="shared" si="6"/>
        <v>1.1184750000000001</v>
      </c>
      <c r="I29" s="9">
        <f t="shared" si="7"/>
        <v>1.6856949999999999</v>
      </c>
    </row>
    <row r="30" spans="1:9" x14ac:dyDescent="0.25">
      <c r="A30" s="11">
        <v>70</v>
      </c>
      <c r="B30" s="9">
        <f t="shared" si="4"/>
        <v>3.6110799999999994</v>
      </c>
      <c r="C30" s="9">
        <f t="shared" si="5"/>
        <v>1.8134299999999997</v>
      </c>
      <c r="G30" s="11">
        <v>70</v>
      </c>
      <c r="H30" s="9">
        <f t="shared" si="6"/>
        <v>1.05905</v>
      </c>
      <c r="I30" s="9">
        <f t="shared" si="7"/>
        <v>1.6102099999999997</v>
      </c>
    </row>
    <row r="31" spans="1:9" x14ac:dyDescent="0.25">
      <c r="A31" s="11">
        <v>75</v>
      </c>
      <c r="B31" s="9">
        <f t="shared" si="4"/>
        <v>3.1262999999999987</v>
      </c>
      <c r="C31" s="9">
        <f t="shared" si="5"/>
        <v>1.7040749999999998</v>
      </c>
      <c r="G31" s="11">
        <v>75</v>
      </c>
      <c r="H31" s="9">
        <f t="shared" si="6"/>
        <v>0.9996250000000001</v>
      </c>
      <c r="I31" s="9">
        <f t="shared" si="7"/>
        <v>1.5347249999999997</v>
      </c>
    </row>
    <row r="32" spans="1:9" x14ac:dyDescent="0.25">
      <c r="A32" s="11">
        <v>80</v>
      </c>
      <c r="B32" s="9">
        <f t="shared" si="4"/>
        <v>2.6415199999999999</v>
      </c>
      <c r="C32" s="9">
        <f t="shared" si="5"/>
        <v>1.5947199999999997</v>
      </c>
      <c r="G32" s="11">
        <v>80</v>
      </c>
      <c r="H32" s="9">
        <f t="shared" si="6"/>
        <v>0.94020000000000015</v>
      </c>
      <c r="I32" s="9">
        <f t="shared" si="7"/>
        <v>1.4592399999999996</v>
      </c>
    </row>
    <row r="33" spans="1:9" x14ac:dyDescent="0.25">
      <c r="A33" s="11">
        <v>85</v>
      </c>
      <c r="B33" s="9">
        <f t="shared" si="4"/>
        <v>2.1567399999999992</v>
      </c>
      <c r="C33" s="9">
        <f t="shared" si="5"/>
        <v>1.4853649999999998</v>
      </c>
      <c r="G33" s="11">
        <v>85</v>
      </c>
      <c r="H33" s="9">
        <f t="shared" si="6"/>
        <v>0.88077500000000009</v>
      </c>
      <c r="I33" s="9">
        <f t="shared" si="7"/>
        <v>1.3837549999999998</v>
      </c>
    </row>
    <row r="34" spans="1:9" x14ac:dyDescent="0.25">
      <c r="A34" s="11">
        <v>90</v>
      </c>
      <c r="B34" s="9">
        <f t="shared" si="4"/>
        <v>1.6719599999999986</v>
      </c>
      <c r="C34" s="9">
        <f t="shared" si="5"/>
        <v>1.3760099999999997</v>
      </c>
      <c r="G34" s="11">
        <v>90</v>
      </c>
      <c r="H34" s="9">
        <f t="shared" si="6"/>
        <v>0.82135000000000002</v>
      </c>
      <c r="I34" s="9">
        <f t="shared" si="7"/>
        <v>1.3082699999999998</v>
      </c>
    </row>
    <row r="35" spans="1:9" x14ac:dyDescent="0.25">
      <c r="A35" s="11">
        <v>95</v>
      </c>
      <c r="B35" s="9">
        <f t="shared" si="4"/>
        <v>1.1871799999999979</v>
      </c>
      <c r="C35" s="9">
        <f t="shared" si="5"/>
        <v>1.2666549999999996</v>
      </c>
      <c r="G35" s="11">
        <v>95</v>
      </c>
      <c r="H35" s="9">
        <f t="shared" si="6"/>
        <v>0.76192500000000019</v>
      </c>
      <c r="I35" s="9">
        <f t="shared" si="7"/>
        <v>1.2327849999999998</v>
      </c>
    </row>
    <row r="36" spans="1:9" x14ac:dyDescent="0.25">
      <c r="A36" s="11">
        <v>100</v>
      </c>
      <c r="B36" s="9">
        <f t="shared" si="4"/>
        <v>0.70239999999999903</v>
      </c>
      <c r="C36" s="9">
        <f t="shared" si="5"/>
        <v>1.1572999999999998</v>
      </c>
      <c r="G36" s="11">
        <v>100</v>
      </c>
      <c r="H36" s="9">
        <f t="shared" si="6"/>
        <v>0.70250000000000012</v>
      </c>
      <c r="I36" s="9">
        <f t="shared" si="7"/>
        <v>1.1572999999999998</v>
      </c>
    </row>
    <row r="37" spans="1:9" x14ac:dyDescent="0.25">
      <c r="A37" s="12">
        <v>102.17005652048353</v>
      </c>
      <c r="B37" s="9">
        <f t="shared" si="4"/>
        <v>0.4919999999999991</v>
      </c>
      <c r="C37" s="9">
        <f t="shared" si="5"/>
        <v>1.1098386938405045</v>
      </c>
      <c r="G37" s="12">
        <v>117.71140092553642</v>
      </c>
      <c r="H37" s="9">
        <f t="shared" si="6"/>
        <v>0.49199999999999977</v>
      </c>
      <c r="I37" s="9">
        <f t="shared" si="7"/>
        <v>0.8899109802271763</v>
      </c>
    </row>
  </sheetData>
  <mergeCells count="2">
    <mergeCell ref="A9:I9"/>
    <mergeCell ref="A24:I24"/>
  </mergeCells>
  <conditionalFormatting sqref="B2:C4 H2:I4 B7:C7 H7:I7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climate_change_per_kg</vt:lpstr>
      <vt:lpstr>climate_change_NS_per_kg</vt:lpstr>
      <vt:lpstr>climate_change_NS_per_kg_ideal</vt:lpstr>
      <vt:lpstr>climate_change_per_kmol</vt:lpstr>
      <vt:lpstr>economics_per_kg</vt:lpstr>
      <vt:lpstr>economics_NS_per_kg</vt:lpstr>
      <vt:lpstr>economics_NS_per_kg_ideal</vt:lpstr>
      <vt:lpstr>economics_per_kmol</vt:lpstr>
      <vt:lpstr>selectivity_sensitivity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2025-05-19T07:21:06Z</dcterms:modified>
</cp:coreProperties>
</file>