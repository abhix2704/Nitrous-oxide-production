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abera\Desktop\Side projects\Nitrous oxide production\results\"/>
    </mc:Choice>
  </mc:AlternateContent>
  <xr:revisionPtr revIDLastSave="0" documentId="13_ncr:1_{14DE6E6C-0DF7-447B-85BB-BE8177C42B36}" xr6:coauthVersionLast="36" xr6:coauthVersionMax="36" xr10:uidLastSave="{00000000-0000-0000-0000-000000000000}"/>
  <bookViews>
    <workbookView xWindow="0" yWindow="0" windowWidth="23040" windowHeight="9060" activeTab="1" xr2:uid="{B157D900-312F-45CE-97D5-25C07FB39BFF}"/>
  </bookViews>
  <sheets>
    <sheet name="BAU" sheetId="2" r:id="rId1"/>
    <sheet name="AON" sheetId="4" r:id="rId2"/>
    <sheet name="References" sheetId="1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4" i="4" l="1"/>
  <c r="C4" i="2"/>
  <c r="C5" i="4" l="1"/>
  <c r="C7" i="4" s="1"/>
  <c r="C9" i="4" l="1"/>
  <c r="C13" i="4"/>
  <c r="C10" i="4" l="1"/>
  <c r="C11" i="4" l="1"/>
  <c r="C12" i="4"/>
  <c r="C7" i="2"/>
  <c r="C9" i="2" l="1"/>
  <c r="C10" i="2" s="1"/>
  <c r="C12" i="2" s="1"/>
  <c r="C13" i="2"/>
  <c r="C11" i="2" l="1"/>
</calcChain>
</file>

<file path=xl/sharedStrings.xml><?xml version="1.0" encoding="utf-8"?>
<sst xmlns="http://schemas.openxmlformats.org/spreadsheetml/2006/main" count="104" uniqueCount="45">
  <si>
    <t>Book:</t>
  </si>
  <si>
    <t>Chemical Process Safety Fundamentals with Applications-Prentice Hall (2011)</t>
  </si>
  <si>
    <t>eta</t>
  </si>
  <si>
    <t>Parameter</t>
  </si>
  <si>
    <t>Description</t>
  </si>
  <si>
    <t>Value</t>
  </si>
  <si>
    <t>Emperical explosion efficiency</t>
  </si>
  <si>
    <t>https://web.cas.org/customercontent/ammoniumnitrate</t>
  </si>
  <si>
    <t>m</t>
  </si>
  <si>
    <t>M</t>
  </si>
  <si>
    <t>Unit</t>
  </si>
  <si>
    <t>-</t>
  </si>
  <si>
    <t>Molar mass of ammonium nitrate</t>
  </si>
  <si>
    <t>kg/kmol</t>
  </si>
  <si>
    <t>Mass of fuel used</t>
  </si>
  <si>
    <t>kg/hr</t>
  </si>
  <si>
    <t>From Aspen simulation assuming a plant capacity of 300 kt/year</t>
  </si>
  <si>
    <t>deltaHc</t>
  </si>
  <si>
    <t>Heat of combustion of reaction</t>
  </si>
  <si>
    <t>kJ/kg</t>
  </si>
  <si>
    <t>mTNT</t>
  </si>
  <si>
    <t>Equivalent mass of TNT</t>
  </si>
  <si>
    <t>ETNT</t>
  </si>
  <si>
    <t>Energy of explosion of TNT</t>
  </si>
  <si>
    <t>References sheet</t>
  </si>
  <si>
    <t>References sheet for formula</t>
  </si>
  <si>
    <t>References</t>
  </si>
  <si>
    <t>Ze</t>
  </si>
  <si>
    <t>Scaled distance</t>
  </si>
  <si>
    <t>r</t>
  </si>
  <si>
    <t>Distance from ground-zero point of the explosion</t>
  </si>
  <si>
    <r>
      <t>m/kg</t>
    </r>
    <r>
      <rPr>
        <vertAlign val="superscript"/>
        <sz val="11"/>
        <color theme="1"/>
        <rFont val="Calibri"/>
        <family val="2"/>
        <scheme val="minor"/>
      </rPr>
      <t>(1/3)</t>
    </r>
  </si>
  <si>
    <t>Po</t>
  </si>
  <si>
    <t>Overpressure</t>
  </si>
  <si>
    <t>kPa</t>
  </si>
  <si>
    <t>https://hrcak.srce.hr/file/365615</t>
  </si>
  <si>
    <t>Assumption</t>
  </si>
  <si>
    <t>Molar mass of ammonia</t>
  </si>
  <si>
    <t>TNT equivalency of ammonium nitrate</t>
  </si>
  <si>
    <t>Ydeaths</t>
  </si>
  <si>
    <t>Number of deaths due to lung hemorrhage</t>
  </si>
  <si>
    <t>Yeardrums</t>
  </si>
  <si>
    <t>Number of eardrum ruptures</t>
  </si>
  <si>
    <t>Dpr</t>
  </si>
  <si>
    <t>Maximum distance at which projectiles can 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</si>
</sst>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2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0" xfId="0" applyFill="1" applyAlignment="1">
      <alignment horizontal="center"/>
    </xf>
    <xf numFmtId="2" fontId="0" fillId="0" borderId="0" xfId="0" applyNumberFormat="1" applyFill="1" applyAlignment="1">
      <alignment horizontal="center"/>
    </xf>
    <xf numFmtId="0" fontId="0" fillId="0" borderId="0" xfId="0" applyFill="1"/>
    <xf numFmtId="0" fontId="0" fillId="0" borderId="0" xfId="0" applyFill="1" applyAlignment="1">
      <alignment horizontal="left"/>
    </xf>
    <xf numFmtId="1" fontId="0" fillId="0" borderId="0" xfId="0" applyNumberFormat="1" applyFill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4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548640</xdr:colOff>
      <xdr:row>15</xdr:row>
      <xdr:rowOff>131445</xdr:rowOff>
    </xdr:from>
    <xdr:to>
      <xdr:col>4</xdr:col>
      <xdr:colOff>2934777</xdr:colOff>
      <xdr:row>33</xdr:row>
      <xdr:rowOff>176565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D26EC16-4BA5-4685-A981-1B4EE641DF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8640" y="3017520"/>
          <a:ext cx="7499702" cy="34741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640080</xdr:colOff>
      <xdr:row>14</xdr:row>
      <xdr:rowOff>114300</xdr:rowOff>
    </xdr:from>
    <xdr:to>
      <xdr:col>4</xdr:col>
      <xdr:colOff>3278857</xdr:colOff>
      <xdr:row>32</xdr:row>
      <xdr:rowOff>159420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C756B43-69B2-4281-BED4-A8E0C15B22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40080" y="2697480"/>
          <a:ext cx="7627337" cy="333696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365760</xdr:colOff>
      <xdr:row>2</xdr:row>
      <xdr:rowOff>152400</xdr:rowOff>
    </xdr:from>
    <xdr:to>
      <xdr:col>11</xdr:col>
      <xdr:colOff>576815</xdr:colOff>
      <xdr:row>18</xdr:row>
      <xdr:rowOff>69984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FA3E964-C174-4C10-83F9-713A8B62AA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5760" y="518160"/>
          <a:ext cx="6916655" cy="2843664"/>
        </a:xfrm>
        <a:prstGeom prst="rect">
          <a:avLst/>
        </a:prstGeom>
      </xdr:spPr>
    </xdr:pic>
    <xdr:clientData/>
  </xdr:twoCellAnchor>
  <xdr:twoCellAnchor editAs="oneCell">
    <xdr:from>
      <xdr:col>12</xdr:col>
      <xdr:colOff>68580</xdr:colOff>
      <xdr:row>3</xdr:row>
      <xdr:rowOff>53340</xdr:rowOff>
    </xdr:from>
    <xdr:to>
      <xdr:col>23</xdr:col>
      <xdr:colOff>258218</xdr:colOff>
      <xdr:row>11</xdr:row>
      <xdr:rowOff>47443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FDB5B99-F41F-4718-8A64-BBA3F2E528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383780" y="601980"/>
          <a:ext cx="6895238" cy="1457143"/>
        </a:xfrm>
        <a:prstGeom prst="rect">
          <a:avLst/>
        </a:prstGeom>
      </xdr:spPr>
    </xdr:pic>
    <xdr:clientData/>
  </xdr:twoCellAnchor>
  <xdr:twoCellAnchor editAs="oneCell">
    <xdr:from>
      <xdr:col>0</xdr:col>
      <xdr:colOff>200025</xdr:colOff>
      <xdr:row>19</xdr:row>
      <xdr:rowOff>11430</xdr:rowOff>
    </xdr:from>
    <xdr:to>
      <xdr:col>12</xdr:col>
      <xdr:colOff>322920</xdr:colOff>
      <xdr:row>38</xdr:row>
      <xdr:rowOff>70043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B76E234-79E9-44D4-A01E-7449D53EEC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00025" y="3630930"/>
          <a:ext cx="7438095" cy="3678113"/>
        </a:xfrm>
        <a:prstGeom prst="rect">
          <a:avLst/>
        </a:prstGeom>
      </xdr:spPr>
    </xdr:pic>
    <xdr:clientData/>
  </xdr:twoCellAnchor>
  <xdr:twoCellAnchor editAs="oneCell">
    <xdr:from>
      <xdr:col>12</xdr:col>
      <xdr:colOff>403860</xdr:colOff>
      <xdr:row>13</xdr:row>
      <xdr:rowOff>144780</xdr:rowOff>
    </xdr:from>
    <xdr:to>
      <xdr:col>25</xdr:col>
      <xdr:colOff>117155</xdr:colOff>
      <xdr:row>45</xdr:row>
      <xdr:rowOff>64049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C135372-A32C-4691-A8E4-C5347F9B14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719060" y="2522220"/>
          <a:ext cx="7638095" cy="577142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567051-35C3-44A5-9ED0-7FDCBAEB2600}">
  <dimension ref="A1:E13"/>
  <sheetViews>
    <sheetView zoomScale="160" zoomScaleNormal="160" workbookViewId="0">
      <selection activeCell="C9" sqref="C9"/>
    </sheetView>
  </sheetViews>
  <sheetFormatPr defaultRowHeight="15" x14ac:dyDescent="0.25"/>
  <cols>
    <col min="1" max="1" width="9.5703125" bestFit="1" customWidth="1"/>
    <col min="2" max="2" width="45.7109375" bestFit="1" customWidth="1"/>
    <col min="3" max="3" width="13.28515625" bestFit="1" customWidth="1"/>
    <col min="4" max="4" width="8.140625" bestFit="1" customWidth="1"/>
    <col min="5" max="5" width="80.5703125" bestFit="1" customWidth="1"/>
  </cols>
  <sheetData>
    <row r="1" spans="1:5" x14ac:dyDescent="0.25">
      <c r="A1" s="2" t="s">
        <v>3</v>
      </c>
      <c r="B1" s="2" t="s">
        <v>4</v>
      </c>
      <c r="C1" s="2" t="s">
        <v>5</v>
      </c>
      <c r="D1" s="2" t="s">
        <v>10</v>
      </c>
      <c r="E1" s="2" t="s">
        <v>26</v>
      </c>
    </row>
    <row r="2" spans="1:5" x14ac:dyDescent="0.25">
      <c r="A2" s="2" t="s">
        <v>11</v>
      </c>
      <c r="B2" s="2" t="s">
        <v>38</v>
      </c>
      <c r="C2" s="1">
        <v>0.4</v>
      </c>
      <c r="D2" s="2" t="s">
        <v>11</v>
      </c>
      <c r="E2" s="3" t="s">
        <v>7</v>
      </c>
    </row>
    <row r="3" spans="1:5" x14ac:dyDescent="0.25">
      <c r="A3" s="2" t="s">
        <v>9</v>
      </c>
      <c r="B3" s="2" t="s">
        <v>12</v>
      </c>
      <c r="C3" s="1">
        <v>80.043000000000006</v>
      </c>
      <c r="D3" s="2" t="s">
        <v>13</v>
      </c>
      <c r="E3" s="3" t="s">
        <v>11</v>
      </c>
    </row>
    <row r="4" spans="1:5" x14ac:dyDescent="0.25">
      <c r="A4" s="2" t="s">
        <v>8</v>
      </c>
      <c r="B4" s="2" t="s">
        <v>14</v>
      </c>
      <c r="C4" s="1">
        <f>37500*80/44/0.9</f>
        <v>75757.575757575745</v>
      </c>
      <c r="D4" s="2" t="s">
        <v>15</v>
      </c>
      <c r="E4" s="3" t="s">
        <v>16</v>
      </c>
    </row>
    <row r="5" spans="1:5" x14ac:dyDescent="0.25">
      <c r="A5" s="4" t="s">
        <v>17</v>
      </c>
      <c r="B5" s="4" t="s">
        <v>18</v>
      </c>
      <c r="C5" s="5">
        <v>1447.7</v>
      </c>
      <c r="D5" s="4" t="s">
        <v>19</v>
      </c>
      <c r="E5" s="7" t="s">
        <v>35</v>
      </c>
    </row>
    <row r="6" spans="1:5" x14ac:dyDescent="0.25">
      <c r="A6" s="2" t="s">
        <v>22</v>
      </c>
      <c r="B6" s="2" t="s">
        <v>23</v>
      </c>
      <c r="C6" s="1">
        <v>4686</v>
      </c>
      <c r="D6" s="2" t="s">
        <v>19</v>
      </c>
      <c r="E6" s="3" t="s">
        <v>24</v>
      </c>
    </row>
    <row r="7" spans="1:5" x14ac:dyDescent="0.25">
      <c r="A7" s="4" t="s">
        <v>20</v>
      </c>
      <c r="B7" s="4" t="s">
        <v>21</v>
      </c>
      <c r="C7" s="5">
        <f>C4*C2</f>
        <v>30303.0303030303</v>
      </c>
      <c r="D7" s="4" t="s">
        <v>15</v>
      </c>
      <c r="E7" s="7" t="s">
        <v>11</v>
      </c>
    </row>
    <row r="8" spans="1:5" x14ac:dyDescent="0.25">
      <c r="A8" s="4" t="s">
        <v>29</v>
      </c>
      <c r="B8" s="4" t="s">
        <v>30</v>
      </c>
      <c r="C8" s="4">
        <v>100</v>
      </c>
      <c r="D8" s="4" t="s">
        <v>8</v>
      </c>
      <c r="E8" s="7" t="s">
        <v>24</v>
      </c>
    </row>
    <row r="9" spans="1:5" ht="17.25" x14ac:dyDescent="0.25">
      <c r="A9" s="4" t="s">
        <v>27</v>
      </c>
      <c r="B9" s="4" t="s">
        <v>28</v>
      </c>
      <c r="C9" s="5">
        <f>C8/(C7^(1/3))</f>
        <v>3.2075343299958265</v>
      </c>
      <c r="D9" s="4" t="s">
        <v>31</v>
      </c>
      <c r="E9" s="7" t="s">
        <v>24</v>
      </c>
    </row>
    <row r="10" spans="1:5" x14ac:dyDescent="0.25">
      <c r="A10" s="4" t="s">
        <v>32</v>
      </c>
      <c r="B10" s="4" t="s">
        <v>33</v>
      </c>
      <c r="C10" s="5">
        <f>100*1616*(1+(C9/4.5)^2)/(((1+(C9/0.048)^2)^0.5)*((1+(C9/0.32)^2)^0.5)*((1+(C9/1.35)^2)^0.5))</f>
        <v>140.4293847838324</v>
      </c>
      <c r="D10" s="4" t="s">
        <v>34</v>
      </c>
      <c r="E10" s="7" t="s">
        <v>24</v>
      </c>
    </row>
    <row r="11" spans="1:5" x14ac:dyDescent="0.25">
      <c r="A11" s="4" t="s">
        <v>39</v>
      </c>
      <c r="B11" s="4" t="s">
        <v>40</v>
      </c>
      <c r="C11" s="8">
        <f>IF(-77.1+6.91*LN(C10*1000)&gt;0,-77.1+6.91*LN(C10*1000),0)</f>
        <v>4.8004988902697079</v>
      </c>
      <c r="D11" s="6"/>
      <c r="E11" s="7" t="s">
        <v>24</v>
      </c>
    </row>
    <row r="12" spans="1:5" x14ac:dyDescent="0.25">
      <c r="A12" s="4" t="s">
        <v>41</v>
      </c>
      <c r="B12" s="4" t="s">
        <v>42</v>
      </c>
      <c r="C12" s="8">
        <f>IF(-15.6+1.93*LN(C10*100)&gt;0,-15.6+1.93*LN(C10*100),0)</f>
        <v>2.831258651595375</v>
      </c>
      <c r="D12" s="6"/>
      <c r="E12" s="7" t="s">
        <v>24</v>
      </c>
    </row>
    <row r="13" spans="1:5" x14ac:dyDescent="0.25">
      <c r="A13" s="9" t="s">
        <v>43</v>
      </c>
      <c r="B13" s="4" t="s">
        <v>44</v>
      </c>
      <c r="C13" s="2">
        <f>290.69*C7^0.217</f>
        <v>2728.4284347357329</v>
      </c>
      <c r="D13" s="4" t="s">
        <v>8</v>
      </c>
      <c r="E13" s="7" t="s">
        <v>24</v>
      </c>
    </row>
  </sheetData>
  <pageMargins left="0.7" right="0.7" top="0.75" bottom="0.75" header="0.3" footer="0.3"/>
  <pageSetup paperSize="9"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4979B-462C-4989-93F3-FF28513503C6}">
  <dimension ref="A1:E13"/>
  <sheetViews>
    <sheetView tabSelected="1" zoomScale="150" zoomScaleNormal="150" workbookViewId="0">
      <selection activeCell="E3" sqref="E3"/>
    </sheetView>
  </sheetViews>
  <sheetFormatPr defaultRowHeight="15" x14ac:dyDescent="0.25"/>
  <cols>
    <col min="1" max="1" width="10.42578125" bestFit="1" customWidth="1"/>
    <col min="2" max="2" width="41.85546875" bestFit="1" customWidth="1"/>
    <col min="3" max="3" width="12.42578125" bestFit="1" customWidth="1"/>
    <col min="4" max="4" width="8.140625" bestFit="1" customWidth="1"/>
    <col min="5" max="5" width="80.5703125" bestFit="1" customWidth="1"/>
  </cols>
  <sheetData>
    <row r="1" spans="1:5" x14ac:dyDescent="0.25">
      <c r="A1" s="2" t="s">
        <v>3</v>
      </c>
      <c r="B1" s="2" t="s">
        <v>4</v>
      </c>
      <c r="C1" s="2" t="s">
        <v>5</v>
      </c>
      <c r="D1" s="2" t="s">
        <v>10</v>
      </c>
      <c r="E1" s="2" t="s">
        <v>26</v>
      </c>
    </row>
    <row r="2" spans="1:5" x14ac:dyDescent="0.25">
      <c r="A2" s="2" t="s">
        <v>2</v>
      </c>
      <c r="B2" s="2" t="s">
        <v>6</v>
      </c>
      <c r="C2" s="1">
        <v>0.05</v>
      </c>
      <c r="D2" s="2" t="s">
        <v>11</v>
      </c>
      <c r="E2" t="s">
        <v>36</v>
      </c>
    </row>
    <row r="3" spans="1:5" x14ac:dyDescent="0.25">
      <c r="A3" s="2" t="s">
        <v>9</v>
      </c>
      <c r="B3" s="2" t="s">
        <v>37</v>
      </c>
      <c r="C3" s="1">
        <v>17.030999999999999</v>
      </c>
      <c r="D3" s="2" t="s">
        <v>13</v>
      </c>
      <c r="E3" t="s">
        <v>11</v>
      </c>
    </row>
    <row r="4" spans="1:5" x14ac:dyDescent="0.25">
      <c r="A4" s="2" t="s">
        <v>8</v>
      </c>
      <c r="B4" s="2" t="s">
        <v>14</v>
      </c>
      <c r="C4" s="1">
        <f>37500*34/44/0.84</f>
        <v>34496.753246753251</v>
      </c>
      <c r="D4" s="2" t="s">
        <v>15</v>
      </c>
      <c r="E4" t="s">
        <v>16</v>
      </c>
    </row>
    <row r="5" spans="1:5" x14ac:dyDescent="0.25">
      <c r="A5" s="4" t="s">
        <v>17</v>
      </c>
      <c r="B5" s="4" t="s">
        <v>18</v>
      </c>
      <c r="C5" s="5">
        <f>18.346*1000</f>
        <v>18346</v>
      </c>
      <c r="D5" s="4" t="s">
        <v>19</v>
      </c>
      <c r="E5" s="6" t="s">
        <v>35</v>
      </c>
    </row>
    <row r="6" spans="1:5" x14ac:dyDescent="0.25">
      <c r="A6" s="4" t="s">
        <v>22</v>
      </c>
      <c r="B6" s="4" t="s">
        <v>23</v>
      </c>
      <c r="C6" s="5">
        <v>4686</v>
      </c>
      <c r="D6" s="4" t="s">
        <v>19</v>
      </c>
      <c r="E6" s="6" t="s">
        <v>24</v>
      </c>
    </row>
    <row r="7" spans="1:5" x14ac:dyDescent="0.25">
      <c r="A7" s="4" t="s">
        <v>20</v>
      </c>
      <c r="B7" s="4" t="s">
        <v>21</v>
      </c>
      <c r="C7" s="5">
        <f>C2*C4*C5/C6</f>
        <v>6752.8535538298675</v>
      </c>
      <c r="D7" s="4" t="s">
        <v>15</v>
      </c>
      <c r="E7" s="6" t="s">
        <v>25</v>
      </c>
    </row>
    <row r="8" spans="1:5" x14ac:dyDescent="0.25">
      <c r="A8" s="4" t="s">
        <v>29</v>
      </c>
      <c r="B8" s="4" t="s">
        <v>30</v>
      </c>
      <c r="C8" s="4">
        <v>100</v>
      </c>
      <c r="D8" s="4" t="s">
        <v>8</v>
      </c>
      <c r="E8" s="7" t="s">
        <v>24</v>
      </c>
    </row>
    <row r="9" spans="1:5" ht="17.25" x14ac:dyDescent="0.25">
      <c r="A9" s="4" t="s">
        <v>27</v>
      </c>
      <c r="B9" s="4" t="s">
        <v>28</v>
      </c>
      <c r="C9" s="5">
        <f>C8/(C7^(1/3))</f>
        <v>5.2905914146849886</v>
      </c>
      <c r="D9" s="4" t="s">
        <v>31</v>
      </c>
      <c r="E9" s="7" t="s">
        <v>24</v>
      </c>
    </row>
    <row r="10" spans="1:5" x14ac:dyDescent="0.25">
      <c r="A10" s="4" t="s">
        <v>32</v>
      </c>
      <c r="B10" s="4" t="s">
        <v>33</v>
      </c>
      <c r="C10" s="5">
        <f>100*1616*(1+(C9/4.5)^2)/(((1+(C9/0.048)^2)^0.5)*((1+(C9/0.32)^2)^0.5)*((1+(C9/1.35)^2)^0.5))</f>
        <v>52.135164348340382</v>
      </c>
      <c r="D10" s="4" t="s">
        <v>34</v>
      </c>
      <c r="E10" s="7" t="s">
        <v>24</v>
      </c>
    </row>
    <row r="11" spans="1:5" x14ac:dyDescent="0.25">
      <c r="A11" s="4" t="s">
        <v>39</v>
      </c>
      <c r="B11" s="4" t="s">
        <v>40</v>
      </c>
      <c r="C11" s="8">
        <f>IF(-77.1+6.91*LN(C10*1000)&gt;0,-77.1+6.91*LN(C10*1000),0)</f>
        <v>0</v>
      </c>
      <c r="D11" s="6"/>
      <c r="E11" s="7" t="s">
        <v>24</v>
      </c>
    </row>
    <row r="12" spans="1:5" x14ac:dyDescent="0.25">
      <c r="A12" s="4" t="s">
        <v>41</v>
      </c>
      <c r="B12" s="4" t="s">
        <v>42</v>
      </c>
      <c r="C12" s="8">
        <f>IF(-15.6+1.93*LN(C10*100)&gt;0,-15.6+1.93*LN(C10*100),0)</f>
        <v>0.91888900391034589</v>
      </c>
      <c r="D12" s="6"/>
      <c r="E12" s="7" t="s">
        <v>24</v>
      </c>
    </row>
    <row r="13" spans="1:5" x14ac:dyDescent="0.25">
      <c r="A13" s="9" t="s">
        <v>43</v>
      </c>
      <c r="B13" s="4" t="s">
        <v>44</v>
      </c>
      <c r="C13" s="2">
        <f>290.69*C7^0.217</f>
        <v>1969.8304330497881</v>
      </c>
      <c r="D13" s="4" t="s">
        <v>8</v>
      </c>
      <c r="E13" s="7" t="s">
        <v>24</v>
      </c>
    </row>
  </sheetData>
  <pageMargins left="0.7" right="0.7" top="0.75" bottom="0.75" header="0.3" footer="0.3"/>
  <pageSetup paperSize="9" orientation="portrait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E899A6-458A-4CC8-A0E7-751D131F0334}">
  <dimension ref="B2:C2"/>
  <sheetViews>
    <sheetView workbookViewId="0">
      <selection activeCell="C2" sqref="C2"/>
    </sheetView>
  </sheetViews>
  <sheetFormatPr defaultRowHeight="15" x14ac:dyDescent="0.25"/>
  <sheetData>
    <row r="2" spans="2:3" x14ac:dyDescent="0.25">
      <c r="B2" t="s">
        <v>0</v>
      </c>
      <c r="C2" t="s">
        <v>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BAU</vt:lpstr>
      <vt:lpstr>AON</vt:lpstr>
      <vt:lpstr>References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Nabera  Abhinandan</dc:creator>
  <cp:lastModifiedBy>Nabera  Abhinandan</cp:lastModifiedBy>
  <dcterms:created xsi:type="dcterms:W3CDTF">2023-12-03T19:07:23Z</dcterms:created>
  <dcterms:modified xsi:type="dcterms:W3CDTF">2025-02-16T18:27:42Z</dcterms:modified>
</cp:coreProperties>
</file>