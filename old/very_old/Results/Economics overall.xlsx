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5AF21769-BC71-4D34-B5F9-98CC57348ED0}" xr6:coauthVersionLast="36" xr6:coauthVersionMax="36" xr10:uidLastSave="{00000000-0000-0000-0000-000000000000}"/>
  <bookViews>
    <workbookView xWindow="0" yWindow="0" windowWidth="20160" windowHeight="9420" activeTab="2" xr2:uid="{67477CE5-9A3B-4D9B-A14D-D3166CF06CB9}"/>
  </bookViews>
  <sheets>
    <sheet name="BAU process" sheetId="2" r:id="rId1"/>
    <sheet name="AON process" sheetId="1" r:id="rId2"/>
    <sheet name="Overall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4" l="1"/>
  <c r="F16" i="4"/>
  <c r="I13" i="4"/>
  <c r="I17" i="4" s="1"/>
  <c r="I12" i="4"/>
  <c r="I16" i="4" s="1"/>
  <c r="H13" i="4"/>
  <c r="H17" i="4" s="1"/>
  <c r="H12" i="4"/>
  <c r="H16" i="4" s="1"/>
  <c r="G13" i="4"/>
  <c r="G17" i="4" s="1"/>
  <c r="G12" i="4"/>
  <c r="G16" i="4" s="1"/>
  <c r="E13" i="4"/>
  <c r="E12" i="4"/>
  <c r="F9" i="4"/>
  <c r="F8" i="4"/>
  <c r="I5" i="4"/>
  <c r="I9" i="4" s="1"/>
  <c r="I4" i="4"/>
  <c r="I8" i="4" s="1"/>
  <c r="H5" i="4"/>
  <c r="H9" i="4" s="1"/>
  <c r="H4" i="4"/>
  <c r="H8" i="4" s="1"/>
  <c r="G5" i="4"/>
  <c r="G9" i="4" s="1"/>
  <c r="G4" i="4"/>
  <c r="G8" i="4" s="1"/>
  <c r="E5" i="4"/>
  <c r="E4" i="4"/>
  <c r="F15" i="4"/>
  <c r="F14" i="4"/>
  <c r="H10" i="4"/>
  <c r="H14" i="4" s="1"/>
  <c r="H11" i="4"/>
  <c r="H15" i="4" s="1"/>
  <c r="I11" i="4"/>
  <c r="I15" i="4" s="1"/>
  <c r="I10" i="4"/>
  <c r="I14" i="4" s="1"/>
  <c r="G11" i="4"/>
  <c r="G15" i="4" s="1"/>
  <c r="E11" i="4"/>
  <c r="G10" i="4"/>
  <c r="G14" i="4" s="1"/>
  <c r="E10" i="4"/>
  <c r="F7" i="4"/>
  <c r="I3" i="4"/>
  <c r="I7" i="4" s="1"/>
  <c r="H3" i="4"/>
  <c r="H7" i="4" s="1"/>
  <c r="G3" i="4"/>
  <c r="G7" i="4" s="1"/>
  <c r="F13" i="4"/>
  <c r="F12" i="4"/>
  <c r="F11" i="4"/>
  <c r="F10" i="4"/>
  <c r="F5" i="4"/>
  <c r="F4" i="4"/>
  <c r="F3" i="4"/>
  <c r="E3" i="4"/>
  <c r="F6" i="4"/>
  <c r="E6" i="4"/>
  <c r="I2" i="4"/>
  <c r="I6" i="4" s="1"/>
  <c r="H2" i="4"/>
  <c r="H6" i="4" s="1"/>
  <c r="G2" i="4"/>
  <c r="G6" i="4" s="1"/>
  <c r="E2" i="4"/>
  <c r="J5" i="4" l="1"/>
  <c r="J2" i="4"/>
  <c r="J11" i="4"/>
  <c r="J10" i="4"/>
  <c r="E9" i="4"/>
  <c r="J9" i="4" s="1"/>
  <c r="J6" i="4"/>
  <c r="J13" i="4"/>
  <c r="J3" i="4"/>
  <c r="J12" i="4"/>
  <c r="J4" i="4"/>
  <c r="E14" i="4"/>
  <c r="J14" i="4" s="1"/>
  <c r="E15" i="4"/>
  <c r="J15" i="4" s="1"/>
  <c r="E16" i="4"/>
  <c r="J16" i="4" s="1"/>
  <c r="E17" i="4"/>
  <c r="J17" i="4" s="1"/>
  <c r="E7" i="4"/>
  <c r="J7" i="4" s="1"/>
  <c r="E8" i="4"/>
  <c r="J8" i="4" s="1"/>
  <c r="G15" i="2"/>
  <c r="F15" i="2"/>
  <c r="C15" i="2"/>
  <c r="B15" i="2"/>
  <c r="G15" i="1" l="1"/>
  <c r="F15" i="1"/>
  <c r="C15" i="1"/>
  <c r="B15" i="1"/>
  <c r="G7" i="2" l="1"/>
  <c r="F7" i="2"/>
  <c r="C7" i="2"/>
  <c r="B7" i="2"/>
  <c r="G7" i="1" l="1"/>
  <c r="F7" i="1"/>
  <c r="C7" i="1"/>
  <c r="B7" i="1"/>
</calcChain>
</file>

<file path=xl/sharedStrings.xml><?xml version="1.0" encoding="utf-8"?>
<sst xmlns="http://schemas.openxmlformats.org/spreadsheetml/2006/main" count="113" uniqueCount="26">
  <si>
    <t>Ammonia</t>
  </si>
  <si>
    <t>Cooling water</t>
  </si>
  <si>
    <t>CAPEX</t>
  </si>
  <si>
    <t>Total</t>
  </si>
  <si>
    <r>
      <t>USD</t>
    </r>
    <r>
      <rPr>
        <b/>
        <vertAlign val="subscript"/>
        <sz val="11"/>
        <color theme="1"/>
        <rFont val="Calibri"/>
        <family val="2"/>
        <scheme val="minor"/>
      </rPr>
      <t>2019</t>
    </r>
    <r>
      <rPr>
        <b/>
        <sz val="11"/>
        <color theme="1"/>
        <rFont val="Calibri"/>
        <family val="2"/>
        <scheme val="minor"/>
      </rPr>
      <t xml:space="preserve"> kg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</si>
  <si>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USD</t>
    </r>
    <r>
      <rPr>
        <b/>
        <vertAlign val="subscript"/>
        <sz val="11"/>
        <color theme="1"/>
        <rFont val="Calibri"/>
        <family val="2"/>
        <scheme val="minor"/>
      </rPr>
      <t xml:space="preserve">2022 </t>
    </r>
    <r>
      <rPr>
        <b/>
        <sz val="11"/>
        <color theme="1"/>
        <rFont val="Calibri"/>
        <family val="2"/>
        <scheme val="minor"/>
      </rPr>
      <t>kg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</si>
  <si>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Component</t>
  </si>
  <si>
    <t>Electricity</t>
  </si>
  <si>
    <t>Green ammonia</t>
  </si>
  <si>
    <t>Year</t>
  </si>
  <si>
    <t>Scenario</t>
  </si>
  <si>
    <t>Fossil ammonia</t>
  </si>
  <si>
    <t>Fossil ammonia scenario 100% selectivity</t>
  </si>
  <si>
    <t>Wind ammonia scenario 100% selectivity</t>
  </si>
  <si>
    <t>Fossil ammonia scenario (no pollution)</t>
  </si>
  <si>
    <t>Wind ammonia scenario (no pollution)</t>
  </si>
  <si>
    <t>Fossil ammonia scenario (pollution)</t>
  </si>
  <si>
    <t>Wind ammonia scenario (pollution)</t>
  </si>
  <si>
    <t>Fossil ammonia scenario 86% selectivity</t>
  </si>
  <si>
    <t>Wind ammonia scenario 86% selectivity</t>
  </si>
  <si>
    <t>BAU</t>
  </si>
  <si>
    <t>BAU (pollution)</t>
  </si>
  <si>
    <t>AMX</t>
  </si>
  <si>
    <t>AMX (ideal)</t>
  </si>
  <si>
    <t>Fossil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</si>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</sst>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1" fillId="0" borderId="0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593C-B7E8-433A-99DE-1AAFE05EF060}">
  <dimension ref="A1:O20"/>
  <sheetViews>
    <sheetView zoomScale="160" zoomScaleNormal="160" workbookViewId="0">
      <selection activeCell="F12" sqref="F12"/>
    </sheetView>
  </sheetViews>
  <sheetFormatPr defaultColWidth="8.85546875" defaultRowHeight="15" x14ac:dyDescent="0.25"/>
  <cols>
    <col min="1" max="1" width="13" style="1" customWidth="1"/>
    <col min="2" max="3" width="16.28515625" style="1" bestFit="1" customWidth="1"/>
    <col min="4" max="4" width="8.85546875" style="1"/>
    <col min="5" max="5" width="13.85546875" style="1" bestFit="1" customWidth="1"/>
    <col min="6" max="7" width="16.28515625" style="1" bestFit="1" customWidth="1"/>
    <col min="8" max="16384" width="8.85546875" style="1"/>
  </cols>
  <sheetData>
    <row r="1" spans="1:15" x14ac:dyDescent="0.25">
      <c r="A1" s="17" t="s">
        <v>14</v>
      </c>
      <c r="B1" s="17"/>
      <c r="C1" s="17"/>
      <c r="E1" s="17" t="s">
        <v>15</v>
      </c>
      <c r="F1" s="17"/>
      <c r="G1" s="17"/>
      <c r="I1" s="10"/>
      <c r="J1" s="10"/>
      <c r="K1" s="11"/>
      <c r="L1" s="11"/>
      <c r="M1" s="7"/>
      <c r="N1" s="7"/>
      <c r="O1" s="7"/>
    </row>
    <row r="2" spans="1:15" ht="18.75" x14ac:dyDescent="0.35">
      <c r="A2" s="9" t="s">
        <v>6</v>
      </c>
      <c r="B2" s="9" t="s">
        <v>4</v>
      </c>
      <c r="C2" s="9" t="s">
        <v>5</v>
      </c>
      <c r="E2" s="9" t="s">
        <v>6</v>
      </c>
      <c r="F2" s="9" t="s">
        <v>4</v>
      </c>
      <c r="G2" s="9" t="s">
        <v>5</v>
      </c>
      <c r="I2" s="7"/>
      <c r="J2" s="10"/>
      <c r="K2" s="10"/>
      <c r="L2" s="7"/>
      <c r="M2" s="7"/>
      <c r="N2" s="7"/>
      <c r="O2" s="7"/>
    </row>
    <row r="3" spans="1:15" x14ac:dyDescent="0.25">
      <c r="A3" s="5" t="s">
        <v>0</v>
      </c>
      <c r="B3" s="2">
        <v>0.39945468659649014</v>
      </c>
      <c r="C3" s="2">
        <v>0.62543470690211411</v>
      </c>
      <c r="E3" s="5" t="s">
        <v>0</v>
      </c>
      <c r="F3" s="2">
        <v>1.1279246015406517</v>
      </c>
      <c r="G3" s="2">
        <v>1.1733009773397627</v>
      </c>
      <c r="I3" s="7"/>
      <c r="J3" s="7"/>
      <c r="K3" s="7"/>
      <c r="L3" s="7"/>
      <c r="M3" s="7"/>
      <c r="N3" s="7"/>
      <c r="O3" s="7"/>
    </row>
    <row r="4" spans="1:15" x14ac:dyDescent="0.25">
      <c r="A4" s="5" t="s">
        <v>7</v>
      </c>
      <c r="B4" s="2">
        <v>4.0607451045489566E-2</v>
      </c>
      <c r="C4" s="2">
        <v>5.1066129650306061E-2</v>
      </c>
      <c r="E4" s="5" t="s">
        <v>7</v>
      </c>
      <c r="F4" s="2">
        <v>4.0607451045489566E-2</v>
      </c>
      <c r="G4" s="2">
        <v>5.1066129650306061E-2</v>
      </c>
      <c r="I4" s="7"/>
      <c r="J4" s="7"/>
      <c r="K4" s="7"/>
      <c r="L4" s="7"/>
      <c r="M4" s="7"/>
      <c r="N4" s="7"/>
      <c r="O4" s="7"/>
    </row>
    <row r="5" spans="1:15" x14ac:dyDescent="0.25">
      <c r="A5" s="5" t="s">
        <v>1</v>
      </c>
      <c r="B5" s="2">
        <v>1.5121665476488628E-3</v>
      </c>
      <c r="C5" s="2">
        <v>2.0311570417802008E-3</v>
      </c>
      <c r="E5" s="5" t="s">
        <v>1</v>
      </c>
      <c r="F5" s="2">
        <v>1.5121665476488628E-3</v>
      </c>
      <c r="G5" s="2">
        <v>2.0311570417802008E-3</v>
      </c>
      <c r="I5" s="7"/>
      <c r="J5" s="7"/>
      <c r="K5" s="7"/>
      <c r="L5" s="7"/>
      <c r="M5" s="7"/>
      <c r="N5" s="7"/>
      <c r="O5" s="7"/>
    </row>
    <row r="6" spans="1:15" x14ac:dyDescent="0.25">
      <c r="A6" s="5" t="s">
        <v>2</v>
      </c>
      <c r="B6" s="2">
        <v>0.10066869009891388</v>
      </c>
      <c r="C6" s="2">
        <v>0.13521917879952883</v>
      </c>
      <c r="E6" s="5" t="s">
        <v>2</v>
      </c>
      <c r="F6" s="2">
        <v>0.10066869009891388</v>
      </c>
      <c r="G6" s="2">
        <v>0.13521917879952883</v>
      </c>
      <c r="I6" s="7"/>
      <c r="J6" s="8"/>
      <c r="K6" s="7"/>
      <c r="L6" s="7"/>
      <c r="M6" s="7"/>
      <c r="N6" s="7"/>
      <c r="O6" s="7"/>
    </row>
    <row r="7" spans="1:15" x14ac:dyDescent="0.25">
      <c r="A7" s="4" t="s">
        <v>3</v>
      </c>
      <c r="B7" s="6">
        <f>SUM(B3:B6)</f>
        <v>0.5422429942885425</v>
      </c>
      <c r="C7" s="6">
        <f>SUM(C3:C6)</f>
        <v>0.81375117239372929</v>
      </c>
      <c r="E7" s="4" t="s">
        <v>3</v>
      </c>
      <c r="F7" s="6">
        <f>SUM(F3:F6)</f>
        <v>1.2707129092327039</v>
      </c>
      <c r="G7" s="6">
        <f>SUM(G3:G6)</f>
        <v>1.3616174428313776</v>
      </c>
      <c r="I7" s="8"/>
      <c r="J7" s="8"/>
      <c r="K7" s="7"/>
      <c r="L7" s="7"/>
      <c r="M7" s="7"/>
      <c r="N7" s="7"/>
      <c r="O7" s="7"/>
    </row>
    <row r="8" spans="1:15" x14ac:dyDescent="0.25">
      <c r="I8" s="7"/>
      <c r="J8" s="7"/>
      <c r="K8" s="7"/>
      <c r="L8" s="7"/>
      <c r="M8" s="7"/>
      <c r="N8" s="7"/>
      <c r="O8" s="7"/>
    </row>
    <row r="9" spans="1:15" x14ac:dyDescent="0.25">
      <c r="A9" s="17" t="s">
        <v>16</v>
      </c>
      <c r="B9" s="17"/>
      <c r="C9" s="17"/>
      <c r="E9" s="17" t="s">
        <v>17</v>
      </c>
      <c r="F9" s="17"/>
      <c r="G9" s="17"/>
      <c r="I9" s="7"/>
      <c r="J9" s="7"/>
      <c r="K9" s="7"/>
      <c r="L9" s="7"/>
      <c r="M9" s="7"/>
      <c r="N9" s="7"/>
      <c r="O9" s="7"/>
    </row>
    <row r="10" spans="1:15" ht="18.75" x14ac:dyDescent="0.35">
      <c r="A10" s="16" t="s">
        <v>6</v>
      </c>
      <c r="B10" s="16" t="s">
        <v>4</v>
      </c>
      <c r="C10" s="16" t="s">
        <v>5</v>
      </c>
      <c r="E10" s="16" t="s">
        <v>6</v>
      </c>
      <c r="F10" s="16" t="s">
        <v>4</v>
      </c>
      <c r="G10" s="16" t="s">
        <v>5</v>
      </c>
      <c r="I10" s="7"/>
      <c r="J10" s="7"/>
      <c r="K10" s="7"/>
      <c r="L10" s="7"/>
      <c r="M10" s="7"/>
    </row>
    <row r="11" spans="1:15" x14ac:dyDescent="0.25">
      <c r="A11" s="5" t="s">
        <v>0</v>
      </c>
      <c r="B11" s="2">
        <v>0.42357417390767532</v>
      </c>
      <c r="C11" s="2">
        <v>0.663199101671473</v>
      </c>
      <c r="E11" s="5" t="s">
        <v>0</v>
      </c>
      <c r="F11" s="2">
        <v>1.1960298560981342</v>
      </c>
      <c r="G11" s="2">
        <v>1.2441461044210584</v>
      </c>
      <c r="I11" s="7"/>
      <c r="J11" s="7"/>
      <c r="K11" s="7"/>
      <c r="L11" s="7"/>
      <c r="M11" s="7"/>
    </row>
    <row r="12" spans="1:15" x14ac:dyDescent="0.25">
      <c r="A12" s="5" t="s">
        <v>7</v>
      </c>
      <c r="B12" s="2">
        <v>4.2043561141438951E-2</v>
      </c>
      <c r="C12" s="2">
        <v>5.287211802100461E-2</v>
      </c>
      <c r="E12" s="5" t="s">
        <v>7</v>
      </c>
      <c r="F12" s="2">
        <v>4.2043561141438951E-2</v>
      </c>
      <c r="G12" s="2">
        <v>5.287211802100461E-2</v>
      </c>
      <c r="I12" s="7"/>
      <c r="J12" s="7"/>
      <c r="K12" s="7"/>
      <c r="L12" s="7"/>
      <c r="M12" s="7"/>
    </row>
    <row r="13" spans="1:15" x14ac:dyDescent="0.25">
      <c r="A13" s="5" t="s">
        <v>1</v>
      </c>
      <c r="B13" s="2">
        <v>1.5294625372225383E-3</v>
      </c>
      <c r="C13" s="2">
        <v>2.0543891858001502E-3</v>
      </c>
      <c r="E13" s="5" t="s">
        <v>1</v>
      </c>
      <c r="F13" s="2">
        <v>1.5294625372225383E-3</v>
      </c>
      <c r="G13" s="2">
        <v>2.0543891858001502E-3</v>
      </c>
      <c r="I13" s="7"/>
      <c r="J13" s="7"/>
      <c r="K13" s="7"/>
      <c r="L13" s="7"/>
      <c r="M13" s="7"/>
    </row>
    <row r="14" spans="1:15" x14ac:dyDescent="0.25">
      <c r="A14" s="5" t="s">
        <v>2</v>
      </c>
      <c r="B14" s="2">
        <v>0.10310888049258687</v>
      </c>
      <c r="C14" s="2">
        <v>0.13849686663695618</v>
      </c>
      <c r="E14" s="5" t="s">
        <v>2</v>
      </c>
      <c r="F14" s="2">
        <v>0.10310888049258687</v>
      </c>
      <c r="G14" s="2">
        <v>0.13849686663695618</v>
      </c>
      <c r="I14" s="7"/>
      <c r="J14" s="7"/>
      <c r="K14" s="7"/>
      <c r="L14" s="7"/>
      <c r="M14" s="7"/>
    </row>
    <row r="15" spans="1:15" x14ac:dyDescent="0.25">
      <c r="A15" s="4" t="s">
        <v>3</v>
      </c>
      <c r="B15" s="6">
        <f>SUM(B11:B14)</f>
        <v>0.57025607807892364</v>
      </c>
      <c r="C15" s="6">
        <f>SUM(C11:C14)</f>
        <v>0.85662247551523396</v>
      </c>
      <c r="E15" s="4" t="s">
        <v>3</v>
      </c>
      <c r="F15" s="6">
        <f>SUM(F11:F14)</f>
        <v>1.3427117602693825</v>
      </c>
      <c r="G15" s="6">
        <f>SUM(G11:G14)</f>
        <v>1.4375694782648194</v>
      </c>
      <c r="I15" s="7"/>
      <c r="J15" s="7"/>
      <c r="K15" s="7"/>
      <c r="L15" s="7"/>
      <c r="M15" s="7"/>
    </row>
    <row r="16" spans="1:15" x14ac:dyDescent="0.25">
      <c r="I16" s="7"/>
      <c r="J16" s="7"/>
      <c r="K16" s="7"/>
      <c r="L16" s="7"/>
      <c r="M16" s="7"/>
    </row>
    <row r="17" spans="9:13" x14ac:dyDescent="0.25">
      <c r="I17" s="7"/>
      <c r="J17" s="7"/>
      <c r="K17" s="7"/>
      <c r="L17" s="7"/>
      <c r="M17" s="7"/>
    </row>
    <row r="18" spans="9:13" x14ac:dyDescent="0.25">
      <c r="I18" s="7"/>
      <c r="J18" s="7"/>
      <c r="K18" s="7"/>
      <c r="L18" s="7"/>
      <c r="M18" s="7"/>
    </row>
    <row r="19" spans="9:13" x14ac:dyDescent="0.25">
      <c r="I19" s="7"/>
      <c r="J19" s="7"/>
      <c r="K19" s="7"/>
      <c r="L19" s="7"/>
      <c r="M19" s="7"/>
    </row>
    <row r="20" spans="9:13" x14ac:dyDescent="0.25">
      <c r="I20" s="7"/>
      <c r="J20" s="7"/>
      <c r="K20" s="7"/>
      <c r="L20" s="7"/>
      <c r="M20" s="7"/>
    </row>
  </sheetData>
  <mergeCells count="4">
    <mergeCell ref="A1:C1"/>
    <mergeCell ref="E1:G1"/>
    <mergeCell ref="A9:C9"/>
    <mergeCell ref="E9:G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F692-BEC1-4764-BB73-EF85A4265FE0}">
  <dimension ref="A1:L15"/>
  <sheetViews>
    <sheetView zoomScale="160" zoomScaleNormal="160" workbookViewId="0">
      <selection activeCell="F18" sqref="F18"/>
    </sheetView>
  </sheetViews>
  <sheetFormatPr defaultColWidth="8.85546875" defaultRowHeight="15" x14ac:dyDescent="0.25"/>
  <cols>
    <col min="1" max="1" width="13" style="1" customWidth="1"/>
    <col min="2" max="3" width="16.28515625" style="1" bestFit="1" customWidth="1"/>
    <col min="4" max="4" width="8.85546875" style="1"/>
    <col min="5" max="5" width="13.85546875" style="1" bestFit="1" customWidth="1"/>
    <col min="6" max="7" width="16.28515625" style="1" bestFit="1" customWidth="1"/>
    <col min="8" max="16384" width="8.85546875" style="1"/>
  </cols>
  <sheetData>
    <row r="1" spans="1:12" x14ac:dyDescent="0.25">
      <c r="A1" s="17" t="s">
        <v>18</v>
      </c>
      <c r="B1" s="17"/>
      <c r="C1" s="17"/>
      <c r="E1" s="17" t="s">
        <v>19</v>
      </c>
      <c r="F1" s="17"/>
      <c r="G1" s="17"/>
    </row>
    <row r="2" spans="1:12" ht="18.75" x14ac:dyDescent="0.35">
      <c r="A2" s="3" t="s">
        <v>6</v>
      </c>
      <c r="B2" s="3" t="s">
        <v>4</v>
      </c>
      <c r="C2" s="3" t="s">
        <v>5</v>
      </c>
      <c r="E2" s="3" t="s">
        <v>6</v>
      </c>
      <c r="F2" s="3" t="s">
        <v>4</v>
      </c>
      <c r="G2" s="3" t="s">
        <v>5</v>
      </c>
      <c r="I2" s="7"/>
      <c r="J2" s="7"/>
      <c r="K2" s="8"/>
      <c r="L2" s="7"/>
    </row>
    <row r="3" spans="1:12" x14ac:dyDescent="0.25">
      <c r="A3" s="5" t="s">
        <v>0</v>
      </c>
      <c r="B3" s="2">
        <v>0.42225402735115125</v>
      </c>
      <c r="C3" s="2">
        <v>0.66113212010296907</v>
      </c>
      <c r="E3" s="5" t="s">
        <v>0</v>
      </c>
      <c r="F3" s="2">
        <v>1.19230220981257</v>
      </c>
      <c r="G3" s="2">
        <v>1.2402684950276155</v>
      </c>
      <c r="I3" s="7"/>
      <c r="J3" s="7"/>
      <c r="K3" s="7"/>
      <c r="L3" s="7"/>
    </row>
    <row r="4" spans="1:12" x14ac:dyDescent="0.25">
      <c r="A4" s="5" t="s">
        <v>7</v>
      </c>
      <c r="B4" s="2">
        <v>2.5192855748646919E-2</v>
      </c>
      <c r="C4" s="2">
        <v>3.1681418183098664E-2</v>
      </c>
      <c r="E4" s="5" t="s">
        <v>7</v>
      </c>
      <c r="F4" s="2">
        <v>2.5192855748646919E-2</v>
      </c>
      <c r="G4" s="2">
        <v>3.1681418183098664E-2</v>
      </c>
      <c r="I4" s="7"/>
      <c r="J4" s="7"/>
      <c r="K4" s="7"/>
      <c r="L4" s="7"/>
    </row>
    <row r="5" spans="1:12" x14ac:dyDescent="0.25">
      <c r="A5" s="5" t="s">
        <v>1</v>
      </c>
      <c r="B5" s="2">
        <v>3.2232891040058068E-3</v>
      </c>
      <c r="C5" s="2">
        <v>4.3295537594547125E-3</v>
      </c>
      <c r="E5" s="5" t="s">
        <v>1</v>
      </c>
      <c r="F5" s="2">
        <v>3.2232891040058068E-3</v>
      </c>
      <c r="G5" s="2">
        <v>4.3295537594547125E-3</v>
      </c>
      <c r="I5" s="7"/>
      <c r="J5" s="7"/>
      <c r="K5" s="7"/>
      <c r="L5" s="7"/>
    </row>
    <row r="6" spans="1:12" x14ac:dyDescent="0.25">
      <c r="A6" s="5" t="s">
        <v>2</v>
      </c>
      <c r="B6" s="2">
        <v>3.5783851259917912E-2</v>
      </c>
      <c r="C6" s="2">
        <v>4.8065222433074935E-2</v>
      </c>
      <c r="E6" s="5" t="s">
        <v>2</v>
      </c>
      <c r="F6" s="2">
        <v>3.5783851259917912E-2</v>
      </c>
      <c r="G6" s="2">
        <v>4.8065222433074935E-2</v>
      </c>
      <c r="I6" s="7"/>
      <c r="J6" s="7"/>
      <c r="K6" s="7"/>
      <c r="L6" s="7"/>
    </row>
    <row r="7" spans="1:12" x14ac:dyDescent="0.25">
      <c r="A7" s="4" t="s">
        <v>3</v>
      </c>
      <c r="B7" s="6">
        <f>SUM(B3:B6)</f>
        <v>0.48645402346372191</v>
      </c>
      <c r="C7" s="6">
        <f>SUM(C3:C6)</f>
        <v>0.74520831447859748</v>
      </c>
      <c r="E7" s="4" t="s">
        <v>3</v>
      </c>
      <c r="F7" s="6">
        <f>SUM(F3:F6)</f>
        <v>1.2565022059251407</v>
      </c>
      <c r="G7" s="6">
        <f>SUM(G3:G6)</f>
        <v>1.3243446894032438</v>
      </c>
    </row>
    <row r="9" spans="1:12" x14ac:dyDescent="0.25">
      <c r="A9" s="17" t="s">
        <v>12</v>
      </c>
      <c r="B9" s="17"/>
      <c r="C9" s="17"/>
      <c r="E9" s="17" t="s">
        <v>13</v>
      </c>
      <c r="F9" s="17"/>
      <c r="G9" s="17"/>
    </row>
    <row r="10" spans="1:12" ht="18.75" x14ac:dyDescent="0.35">
      <c r="A10" s="15" t="s">
        <v>6</v>
      </c>
      <c r="B10" s="15" t="s">
        <v>4</v>
      </c>
      <c r="C10" s="15" t="s">
        <v>5</v>
      </c>
      <c r="E10" s="15" t="s">
        <v>6</v>
      </c>
      <c r="F10" s="15" t="s">
        <v>4</v>
      </c>
      <c r="G10" s="15" t="s">
        <v>5</v>
      </c>
    </row>
    <row r="11" spans="1:12" x14ac:dyDescent="0.25">
      <c r="A11" s="5" t="s">
        <v>0</v>
      </c>
      <c r="B11" s="2">
        <v>0.36307168068197099</v>
      </c>
      <c r="C11" s="2">
        <v>0.56846905997417763</v>
      </c>
      <c r="E11" s="5" t="s">
        <v>0</v>
      </c>
      <c r="F11" s="2">
        <v>1.0251913283410332</v>
      </c>
      <c r="G11" s="2">
        <v>1.0664347473756484</v>
      </c>
    </row>
    <row r="12" spans="1:12" x14ac:dyDescent="0.25">
      <c r="A12" s="5" t="s">
        <v>7</v>
      </c>
      <c r="B12" s="2">
        <v>2.232718732275368E-2</v>
      </c>
      <c r="C12" s="2">
        <v>2.807768065208446E-2</v>
      </c>
      <c r="E12" s="5" t="s">
        <v>7</v>
      </c>
      <c r="F12" s="2">
        <v>2.232718732275368E-2</v>
      </c>
      <c r="G12" s="2">
        <v>2.807768065208446E-2</v>
      </c>
    </row>
    <row r="13" spans="1:12" x14ac:dyDescent="0.25">
      <c r="A13" s="5" t="s">
        <v>1</v>
      </c>
      <c r="B13" s="2">
        <v>2.8178678850088418E-3</v>
      </c>
      <c r="C13" s="2">
        <v>3.784987973937802E-3</v>
      </c>
      <c r="E13" s="5" t="s">
        <v>1</v>
      </c>
      <c r="F13" s="2">
        <v>2.8178678850088418E-3</v>
      </c>
      <c r="G13" s="2">
        <v>3.784987973937802E-3</v>
      </c>
    </row>
    <row r="14" spans="1:12" x14ac:dyDescent="0.25">
      <c r="A14" s="5" t="s">
        <v>2</v>
      </c>
      <c r="B14" s="2">
        <v>3.198286111337019E-2</v>
      </c>
      <c r="C14" s="2">
        <v>4.295969492758861E-2</v>
      </c>
      <c r="E14" s="5" t="s">
        <v>2</v>
      </c>
      <c r="F14" s="2">
        <v>3.198286111337019E-2</v>
      </c>
      <c r="G14" s="2">
        <v>4.295969492758861E-2</v>
      </c>
    </row>
    <row r="15" spans="1:12" x14ac:dyDescent="0.25">
      <c r="A15" s="4" t="s">
        <v>3</v>
      </c>
      <c r="B15" s="6">
        <f>SUM(B11:B14)</f>
        <v>0.42019959700310366</v>
      </c>
      <c r="C15" s="6">
        <f>SUM(C11:C14)</f>
        <v>0.64329142352778845</v>
      </c>
      <c r="E15" s="4" t="s">
        <v>3</v>
      </c>
      <c r="F15" s="6">
        <f>SUM(F11:F14)</f>
        <v>1.0823192446621659</v>
      </c>
      <c r="G15" s="6">
        <f>SUM(G11:G14)</f>
        <v>1.1412571109292591</v>
      </c>
    </row>
  </sheetData>
  <mergeCells count="4">
    <mergeCell ref="A1:C1"/>
    <mergeCell ref="E1:G1"/>
    <mergeCell ref="A9:C9"/>
    <mergeCell ref="E9:G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4F37-D1D0-45D4-80A6-A0CCDDE3AB3B}">
  <dimension ref="A1:J17"/>
  <sheetViews>
    <sheetView tabSelected="1" workbookViewId="0">
      <selection activeCell="L4" sqref="L4"/>
    </sheetView>
  </sheetViews>
  <sheetFormatPr defaultRowHeight="15" x14ac:dyDescent="0.25"/>
  <cols>
    <col min="2" max="2" width="19.28515625" bestFit="1" customWidth="1"/>
    <col min="3" max="3" width="19.28515625" customWidth="1"/>
    <col min="5" max="5" width="14.85546875" bestFit="1" customWidth="1"/>
    <col min="6" max="6" width="15.28515625" bestFit="1" customWidth="1"/>
    <col min="7" max="7" width="9.7109375" bestFit="1" customWidth="1"/>
    <col min="8" max="8" width="13.5703125" bestFit="1" customWidth="1"/>
    <col min="9" max="9" width="6.7109375" bestFit="1" customWidth="1"/>
  </cols>
  <sheetData>
    <row r="1" spans="1:10" x14ac:dyDescent="0.25">
      <c r="B1" s="12" t="s">
        <v>10</v>
      </c>
      <c r="C1" s="16" t="s">
        <v>0</v>
      </c>
      <c r="D1" s="12" t="s">
        <v>9</v>
      </c>
      <c r="E1" s="12" t="s">
        <v>11</v>
      </c>
      <c r="F1" s="12" t="s">
        <v>8</v>
      </c>
      <c r="G1" s="12" t="s">
        <v>7</v>
      </c>
      <c r="H1" s="12" t="s">
        <v>1</v>
      </c>
      <c r="I1" s="12" t="s">
        <v>2</v>
      </c>
      <c r="J1" s="18" t="s">
        <v>3</v>
      </c>
    </row>
    <row r="2" spans="1:10" x14ac:dyDescent="0.25">
      <c r="A2" s="12">
        <v>0</v>
      </c>
      <c r="B2" s="13" t="s">
        <v>20</v>
      </c>
      <c r="C2" s="13" t="s">
        <v>24</v>
      </c>
      <c r="D2" s="13">
        <v>2019</v>
      </c>
      <c r="E2" s="14">
        <f>'BAU process'!B3</f>
        <v>0.39945468659649014</v>
      </c>
      <c r="F2" s="14">
        <v>0</v>
      </c>
      <c r="G2" s="14">
        <f>'BAU process'!B4</f>
        <v>4.0607451045489566E-2</v>
      </c>
      <c r="H2" s="14">
        <f>'BAU process'!B5</f>
        <v>1.5121665476488628E-3</v>
      </c>
      <c r="I2" s="14">
        <f>'BAU process'!B6</f>
        <v>0.10066869009891388</v>
      </c>
      <c r="J2" s="14">
        <f>SUM(E2:I2)</f>
        <v>0.5422429942885425</v>
      </c>
    </row>
    <row r="3" spans="1:10" x14ac:dyDescent="0.25">
      <c r="A3" s="16">
        <v>1</v>
      </c>
      <c r="B3" s="13" t="s">
        <v>21</v>
      </c>
      <c r="C3" s="13" t="s">
        <v>24</v>
      </c>
      <c r="D3" s="13">
        <v>2019</v>
      </c>
      <c r="E3" s="14">
        <f>'BAU process'!B11</f>
        <v>0.42357417390767532</v>
      </c>
      <c r="F3" s="14">
        <f>F2</f>
        <v>0</v>
      </c>
      <c r="G3" s="14">
        <f>'BAU process'!B12</f>
        <v>4.2043561141438951E-2</v>
      </c>
      <c r="H3" s="14">
        <f>'BAU process'!B13</f>
        <v>1.5294625372225383E-3</v>
      </c>
      <c r="I3" s="14">
        <f>'BAU process'!B14</f>
        <v>0.10310888049258687</v>
      </c>
      <c r="J3" s="14">
        <f t="shared" ref="J3:J17" si="0">SUM(E3:I3)</f>
        <v>0.57025607807892364</v>
      </c>
    </row>
    <row r="4" spans="1:10" x14ac:dyDescent="0.25">
      <c r="A4" s="16">
        <v>2</v>
      </c>
      <c r="B4" s="13" t="s">
        <v>22</v>
      </c>
      <c r="C4" s="13" t="s">
        <v>24</v>
      </c>
      <c r="D4" s="13">
        <v>2019</v>
      </c>
      <c r="E4" s="14">
        <f>'AON process'!B3</f>
        <v>0.42225402735115125</v>
      </c>
      <c r="F4" s="14">
        <f>F2</f>
        <v>0</v>
      </c>
      <c r="G4" s="14">
        <f>'AON process'!B4</f>
        <v>2.5192855748646919E-2</v>
      </c>
      <c r="H4" s="14">
        <f>'AON process'!B5</f>
        <v>3.2232891040058068E-3</v>
      </c>
      <c r="I4" s="14">
        <f>'AON process'!B6</f>
        <v>3.5783851259917912E-2</v>
      </c>
      <c r="J4" s="14">
        <f t="shared" si="0"/>
        <v>0.48645402346372191</v>
      </c>
    </row>
    <row r="5" spans="1:10" x14ac:dyDescent="0.25">
      <c r="A5" s="16">
        <v>3</v>
      </c>
      <c r="B5" s="13" t="s">
        <v>23</v>
      </c>
      <c r="C5" s="13" t="s">
        <v>24</v>
      </c>
      <c r="D5" s="13">
        <v>2019</v>
      </c>
      <c r="E5" s="14">
        <f>'AON process'!B11</f>
        <v>0.36307168068197099</v>
      </c>
      <c r="F5" s="14">
        <f>F2</f>
        <v>0</v>
      </c>
      <c r="G5" s="14">
        <f>'AON process'!B12</f>
        <v>2.232718732275368E-2</v>
      </c>
      <c r="H5" s="14">
        <f>'AON process'!B13</f>
        <v>2.8178678850088418E-3</v>
      </c>
      <c r="I5" s="14">
        <f>'AON process'!B14</f>
        <v>3.198286111337019E-2</v>
      </c>
      <c r="J5" s="14">
        <f t="shared" si="0"/>
        <v>0.42019959700310366</v>
      </c>
    </row>
    <row r="6" spans="1:10" x14ac:dyDescent="0.25">
      <c r="A6" s="16">
        <v>4</v>
      </c>
      <c r="B6" s="13" t="s">
        <v>20</v>
      </c>
      <c r="C6" s="13" t="s">
        <v>25</v>
      </c>
      <c r="D6" s="13">
        <v>2019</v>
      </c>
      <c r="E6" s="14">
        <f>F2</f>
        <v>0</v>
      </c>
      <c r="F6" s="14">
        <f>'BAU process'!F3</f>
        <v>1.1279246015406517</v>
      </c>
      <c r="G6" s="14">
        <f t="shared" ref="G6:I9" si="1">G2</f>
        <v>4.0607451045489566E-2</v>
      </c>
      <c r="H6" s="14">
        <f t="shared" si="1"/>
        <v>1.5121665476488628E-3</v>
      </c>
      <c r="I6" s="14">
        <f t="shared" si="1"/>
        <v>0.10066869009891388</v>
      </c>
      <c r="J6" s="14">
        <f t="shared" si="0"/>
        <v>1.2707129092327039</v>
      </c>
    </row>
    <row r="7" spans="1:10" x14ac:dyDescent="0.25">
      <c r="A7" s="16">
        <v>5</v>
      </c>
      <c r="B7" s="13" t="s">
        <v>21</v>
      </c>
      <c r="C7" s="13" t="s">
        <v>25</v>
      </c>
      <c r="D7" s="13">
        <v>2019</v>
      </c>
      <c r="E7" s="14">
        <f>E6</f>
        <v>0</v>
      </c>
      <c r="F7" s="14">
        <f>'BAU process'!F11</f>
        <v>1.1960298560981342</v>
      </c>
      <c r="G7" s="14">
        <f t="shared" si="1"/>
        <v>4.2043561141438951E-2</v>
      </c>
      <c r="H7" s="14">
        <f t="shared" si="1"/>
        <v>1.5294625372225383E-3</v>
      </c>
      <c r="I7" s="14">
        <f t="shared" si="1"/>
        <v>0.10310888049258687</v>
      </c>
      <c r="J7" s="14">
        <f t="shared" si="0"/>
        <v>1.3427117602693825</v>
      </c>
    </row>
    <row r="8" spans="1:10" x14ac:dyDescent="0.25">
      <c r="A8" s="16">
        <v>6</v>
      </c>
      <c r="B8" s="13" t="s">
        <v>22</v>
      </c>
      <c r="C8" s="13" t="s">
        <v>25</v>
      </c>
      <c r="D8" s="13">
        <v>2019</v>
      </c>
      <c r="E8" s="14">
        <f>E6</f>
        <v>0</v>
      </c>
      <c r="F8" s="14">
        <f>'AON process'!F3</f>
        <v>1.19230220981257</v>
      </c>
      <c r="G8" s="14">
        <f t="shared" si="1"/>
        <v>2.5192855748646919E-2</v>
      </c>
      <c r="H8" s="14">
        <f t="shared" si="1"/>
        <v>3.2232891040058068E-3</v>
      </c>
      <c r="I8" s="14">
        <f t="shared" si="1"/>
        <v>3.5783851259917912E-2</v>
      </c>
      <c r="J8" s="14">
        <f t="shared" si="0"/>
        <v>1.2565022059251407</v>
      </c>
    </row>
    <row r="9" spans="1:10" x14ac:dyDescent="0.25">
      <c r="A9" s="16">
        <v>7</v>
      </c>
      <c r="B9" s="13" t="s">
        <v>23</v>
      </c>
      <c r="C9" s="13" t="s">
        <v>25</v>
      </c>
      <c r="D9" s="13">
        <v>2019</v>
      </c>
      <c r="E9" s="14">
        <f>E6</f>
        <v>0</v>
      </c>
      <c r="F9" s="14">
        <f>'AON process'!F11</f>
        <v>1.0251913283410332</v>
      </c>
      <c r="G9" s="14">
        <f t="shared" si="1"/>
        <v>2.232718732275368E-2</v>
      </c>
      <c r="H9" s="14">
        <f t="shared" si="1"/>
        <v>2.8178678850088418E-3</v>
      </c>
      <c r="I9" s="14">
        <f t="shared" si="1"/>
        <v>3.198286111337019E-2</v>
      </c>
      <c r="J9" s="14">
        <f t="shared" si="0"/>
        <v>1.0823192446621659</v>
      </c>
    </row>
    <row r="10" spans="1:10" x14ac:dyDescent="0.25">
      <c r="A10" s="16">
        <v>8</v>
      </c>
      <c r="B10" s="13" t="s">
        <v>20</v>
      </c>
      <c r="C10" s="13" t="s">
        <v>24</v>
      </c>
      <c r="D10" s="13">
        <v>2022</v>
      </c>
      <c r="E10" s="14">
        <f>'BAU process'!C3</f>
        <v>0.62543470690211411</v>
      </c>
      <c r="F10" s="14">
        <f>F2</f>
        <v>0</v>
      </c>
      <c r="G10" s="14">
        <f>'BAU process'!C4</f>
        <v>5.1066129650306061E-2</v>
      </c>
      <c r="H10" s="14">
        <f>'BAU process'!C5</f>
        <v>2.0311570417802008E-3</v>
      </c>
      <c r="I10" s="14">
        <f>'BAU process'!C6</f>
        <v>0.13521917879952883</v>
      </c>
      <c r="J10" s="14">
        <f t="shared" si="0"/>
        <v>0.81375117239372929</v>
      </c>
    </row>
    <row r="11" spans="1:10" x14ac:dyDescent="0.25">
      <c r="A11" s="16">
        <v>9</v>
      </c>
      <c r="B11" s="13" t="s">
        <v>21</v>
      </c>
      <c r="C11" s="13" t="s">
        <v>24</v>
      </c>
      <c r="D11" s="13">
        <v>2022</v>
      </c>
      <c r="E11" s="14">
        <f>'BAU process'!C11</f>
        <v>0.663199101671473</v>
      </c>
      <c r="F11" s="14">
        <f>F2</f>
        <v>0</v>
      </c>
      <c r="G11" s="14">
        <f>'BAU process'!C12</f>
        <v>5.287211802100461E-2</v>
      </c>
      <c r="H11" s="14">
        <f>'BAU process'!C13</f>
        <v>2.0543891858001502E-3</v>
      </c>
      <c r="I11" s="14">
        <f>'BAU process'!C14</f>
        <v>0.13849686663695618</v>
      </c>
      <c r="J11" s="14">
        <f t="shared" si="0"/>
        <v>0.85662247551523396</v>
      </c>
    </row>
    <row r="12" spans="1:10" x14ac:dyDescent="0.25">
      <c r="A12" s="16">
        <v>10</v>
      </c>
      <c r="B12" s="13" t="s">
        <v>22</v>
      </c>
      <c r="C12" s="13" t="s">
        <v>24</v>
      </c>
      <c r="D12" s="13">
        <v>2022</v>
      </c>
      <c r="E12" s="14">
        <f>'AON process'!C3</f>
        <v>0.66113212010296907</v>
      </c>
      <c r="F12" s="14">
        <f>F2</f>
        <v>0</v>
      </c>
      <c r="G12" s="14">
        <f>'AON process'!C4</f>
        <v>3.1681418183098664E-2</v>
      </c>
      <c r="H12" s="14">
        <f>'AON process'!C5</f>
        <v>4.3295537594547125E-3</v>
      </c>
      <c r="I12" s="14">
        <f>'AON process'!C6</f>
        <v>4.8065222433074935E-2</v>
      </c>
      <c r="J12" s="14">
        <f t="shared" si="0"/>
        <v>0.74520831447859748</v>
      </c>
    </row>
    <row r="13" spans="1:10" x14ac:dyDescent="0.25">
      <c r="A13" s="16">
        <v>11</v>
      </c>
      <c r="B13" s="13" t="s">
        <v>23</v>
      </c>
      <c r="C13" s="13" t="s">
        <v>24</v>
      </c>
      <c r="D13" s="13">
        <v>2022</v>
      </c>
      <c r="E13" s="14">
        <f>'AON process'!C11</f>
        <v>0.56846905997417763</v>
      </c>
      <c r="F13" s="14">
        <f>F2</f>
        <v>0</v>
      </c>
      <c r="G13" s="14">
        <f>'AON process'!C12</f>
        <v>2.807768065208446E-2</v>
      </c>
      <c r="H13" s="14">
        <f>'AON process'!C13</f>
        <v>3.784987973937802E-3</v>
      </c>
      <c r="I13" s="14">
        <f>'AON process'!C14</f>
        <v>4.295969492758861E-2</v>
      </c>
      <c r="J13" s="14">
        <f t="shared" si="0"/>
        <v>0.64329142352778845</v>
      </c>
    </row>
    <row r="14" spans="1:10" x14ac:dyDescent="0.25">
      <c r="A14" s="16">
        <v>12</v>
      </c>
      <c r="B14" s="13" t="s">
        <v>20</v>
      </c>
      <c r="C14" s="13" t="s">
        <v>25</v>
      </c>
      <c r="D14" s="13">
        <v>2022</v>
      </c>
      <c r="E14" s="14">
        <f>E6</f>
        <v>0</v>
      </c>
      <c r="F14" s="14">
        <f>'BAU process'!G3</f>
        <v>1.1733009773397627</v>
      </c>
      <c r="G14" s="14">
        <f t="shared" ref="G14:I17" si="2">G10</f>
        <v>5.1066129650306061E-2</v>
      </c>
      <c r="H14" s="14">
        <f t="shared" si="2"/>
        <v>2.0311570417802008E-3</v>
      </c>
      <c r="I14" s="14">
        <f t="shared" si="2"/>
        <v>0.13521917879952883</v>
      </c>
      <c r="J14" s="14">
        <f t="shared" si="0"/>
        <v>1.3616174428313776</v>
      </c>
    </row>
    <row r="15" spans="1:10" x14ac:dyDescent="0.25">
      <c r="A15" s="16">
        <v>13</v>
      </c>
      <c r="B15" s="13" t="s">
        <v>21</v>
      </c>
      <c r="C15" s="13" t="s">
        <v>25</v>
      </c>
      <c r="D15" s="13">
        <v>2022</v>
      </c>
      <c r="E15" s="14">
        <f>E6</f>
        <v>0</v>
      </c>
      <c r="F15" s="14">
        <f>'BAU process'!G11</f>
        <v>1.2441461044210584</v>
      </c>
      <c r="G15" s="14">
        <f t="shared" si="2"/>
        <v>5.287211802100461E-2</v>
      </c>
      <c r="H15" s="14">
        <f t="shared" si="2"/>
        <v>2.0543891858001502E-3</v>
      </c>
      <c r="I15" s="14">
        <f t="shared" si="2"/>
        <v>0.13849686663695618</v>
      </c>
      <c r="J15" s="14">
        <f t="shared" si="0"/>
        <v>1.4375694782648194</v>
      </c>
    </row>
    <row r="16" spans="1:10" x14ac:dyDescent="0.25">
      <c r="A16" s="16">
        <v>14</v>
      </c>
      <c r="B16" s="13" t="s">
        <v>22</v>
      </c>
      <c r="C16" s="13" t="s">
        <v>25</v>
      </c>
      <c r="D16" s="13">
        <v>2022</v>
      </c>
      <c r="E16" s="14">
        <f>E6</f>
        <v>0</v>
      </c>
      <c r="F16" s="14">
        <f>'AON process'!G3</f>
        <v>1.2402684950276155</v>
      </c>
      <c r="G16" s="14">
        <f t="shared" si="2"/>
        <v>3.1681418183098664E-2</v>
      </c>
      <c r="H16" s="14">
        <f t="shared" si="2"/>
        <v>4.3295537594547125E-3</v>
      </c>
      <c r="I16" s="14">
        <f t="shared" si="2"/>
        <v>4.8065222433074935E-2</v>
      </c>
      <c r="J16" s="14">
        <f t="shared" si="0"/>
        <v>1.3243446894032438</v>
      </c>
    </row>
    <row r="17" spans="1:10" x14ac:dyDescent="0.25">
      <c r="A17" s="16">
        <v>15</v>
      </c>
      <c r="B17" s="13" t="s">
        <v>23</v>
      </c>
      <c r="C17" s="13" t="s">
        <v>25</v>
      </c>
      <c r="D17" s="13">
        <v>2022</v>
      </c>
      <c r="E17" s="14">
        <f>E6</f>
        <v>0</v>
      </c>
      <c r="F17" s="14">
        <f>'AON process'!G11</f>
        <v>1.0664347473756484</v>
      </c>
      <c r="G17" s="14">
        <f t="shared" si="2"/>
        <v>2.807768065208446E-2</v>
      </c>
      <c r="H17" s="14">
        <f t="shared" si="2"/>
        <v>3.784987973937802E-3</v>
      </c>
      <c r="I17" s="14">
        <f t="shared" si="2"/>
        <v>4.295969492758861E-2</v>
      </c>
      <c r="J17" s="14">
        <f t="shared" si="0"/>
        <v>1.1412571109292591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BAU process</vt:lpstr>
      <vt:lpstr>AON process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2023-09-18T18:42:16Z</dcterms:created>
  <dcterms:modified xsi:type="dcterms:W3CDTF">2023-11-29T04:37:18Z</dcterms:modified>
</cp:coreProperties>
</file>