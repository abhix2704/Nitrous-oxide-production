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AON process\v1\86%\"/>
    </mc:Choice>
  </mc:AlternateContent>
  <xr:revisionPtr revIDLastSave="0" documentId="13_ncr:1_{D0F75C88-7D21-4A6E-B5DA-7A1E409329C1}" xr6:coauthVersionLast="36" xr6:coauthVersionMax="36" xr10:uidLastSave="{00000000-0000-0000-0000-000000000000}"/>
  <bookViews>
    <workbookView xWindow="0" yWindow="0" windowWidth="17268" windowHeight="5772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8" l="1"/>
  <c r="D7" i="8"/>
  <c r="D6" i="8"/>
  <c r="M14" i="7"/>
  <c r="N14" i="7" s="1"/>
  <c r="O14" i="7" s="1"/>
  <c r="Q14" i="7" s="1"/>
  <c r="D48" i="7" s="1"/>
  <c r="H48" i="7" s="1"/>
  <c r="D43" i="7"/>
  <c r="H43" i="7" s="1"/>
  <c r="D42" i="7"/>
  <c r="H42" i="7" s="1"/>
  <c r="D41" i="7"/>
  <c r="H41" i="7" s="1"/>
  <c r="D40" i="7"/>
  <c r="D39" i="7"/>
  <c r="H39" i="7" s="1"/>
  <c r="D38" i="7"/>
  <c r="H38" i="7" s="1"/>
  <c r="D37" i="7"/>
  <c r="D36" i="7"/>
  <c r="H36" i="7" s="1"/>
  <c r="D35" i="7"/>
  <c r="H35" i="7" s="1"/>
  <c r="D34" i="7"/>
  <c r="D33" i="7"/>
  <c r="H33" i="7" s="1"/>
  <c r="D32" i="7"/>
  <c r="H32" i="7" s="1"/>
  <c r="D31" i="7"/>
  <c r="D30" i="7"/>
  <c r="H30" i="7" s="1"/>
  <c r="D29" i="7"/>
  <c r="H29" i="7" s="1"/>
  <c r="D28" i="7"/>
  <c r="H28" i="7" s="1"/>
  <c r="D27" i="7"/>
  <c r="H27" i="7" s="1"/>
  <c r="D26" i="7"/>
  <c r="H26" i="7" s="1"/>
  <c r="D25" i="7"/>
  <c r="H25" i="7" s="1"/>
  <c r="D24" i="7"/>
  <c r="H24" i="7" s="1"/>
  <c r="D23" i="7"/>
  <c r="H23" i="7" s="1"/>
  <c r="D22" i="7"/>
  <c r="H22" i="7" s="1"/>
  <c r="D21" i="7"/>
  <c r="H21" i="7" s="1"/>
  <c r="D20" i="7"/>
  <c r="D19" i="7"/>
  <c r="H19" i="7" s="1"/>
  <c r="D18" i="7"/>
  <c r="H18" i="7" s="1"/>
  <c r="D17" i="7"/>
  <c r="H15" i="7"/>
  <c r="H14" i="7"/>
  <c r="B66" i="7" l="1"/>
  <c r="H40" i="7" l="1"/>
  <c r="H37" i="7"/>
  <c r="H34" i="7"/>
  <c r="H31" i="7"/>
  <c r="E5" i="8" l="1"/>
  <c r="F5" i="8" s="1"/>
  <c r="L17" i="11" l="1"/>
  <c r="L16" i="11"/>
  <c r="L15" i="11"/>
  <c r="I14" i="11"/>
  <c r="I13" i="11"/>
  <c r="I12" i="11"/>
  <c r="I11" i="11"/>
  <c r="H10" i="8"/>
  <c r="J10" i="8" s="1"/>
  <c r="G10" i="8"/>
  <c r="I10" i="8" s="1"/>
  <c r="G9" i="8"/>
  <c r="I9" i="8" s="1"/>
  <c r="H5" i="8"/>
  <c r="J5" i="8" s="1"/>
  <c r="G5" i="8"/>
  <c r="I5" i="8" s="1"/>
  <c r="F9" i="8" l="1"/>
  <c r="H9" i="8" s="1"/>
  <c r="J9" i="8" s="1"/>
  <c r="H6" i="8" l="1"/>
  <c r="G6" i="8"/>
  <c r="G7" i="8"/>
  <c r="H7" i="8"/>
  <c r="F14" i="11"/>
  <c r="L14" i="11" s="1"/>
  <c r="F13" i="11"/>
  <c r="L13" i="11" s="1"/>
  <c r="F12" i="11"/>
  <c r="L12" i="11" s="1"/>
  <c r="F11" i="11"/>
  <c r="L11" i="11" s="1"/>
  <c r="G6" i="12"/>
  <c r="G7" i="12" s="1"/>
  <c r="C66" i="7"/>
  <c r="H20" i="7"/>
  <c r="G12" i="8" l="1"/>
  <c r="I20" i="11" s="1"/>
  <c r="I7" i="8"/>
  <c r="H12" i="8"/>
  <c r="L20" i="11" s="1"/>
  <c r="J7" i="8"/>
  <c r="G11" i="8"/>
  <c r="C20" i="11" s="1"/>
  <c r="I6" i="8"/>
  <c r="H11" i="8"/>
  <c r="F20" i="11" s="1"/>
  <c r="J6" i="8"/>
  <c r="G8" i="12"/>
  <c r="G9" i="12" s="1"/>
  <c r="C6" i="12" l="1"/>
  <c r="M15" i="7" l="1"/>
  <c r="N15" i="7" s="1"/>
  <c r="O15" i="7" s="1"/>
  <c r="Q15" i="7" s="1"/>
  <c r="D45" i="7" l="1"/>
  <c r="H45" i="7" s="1"/>
  <c r="C7" i="12" l="1"/>
  <c r="C8" i="12" l="1"/>
  <c r="C9" i="12" s="1"/>
  <c r="C16" i="11" l="1"/>
  <c r="I16" i="11" s="1"/>
  <c r="C15" i="11"/>
  <c r="I15" i="11" s="1"/>
  <c r="H17" i="7" l="1"/>
  <c r="C17" i="11" l="1"/>
  <c r="I17" i="11" s="1"/>
  <c r="M13" i="7" l="1"/>
  <c r="N13" i="7" s="1"/>
  <c r="O13" i="7" s="1"/>
  <c r="Q13" i="7" s="1"/>
  <c r="D47" i="7" s="1"/>
  <c r="H47" i="7" s="1"/>
  <c r="H49" i="7" s="1"/>
  <c r="B53" i="7" l="1"/>
  <c r="B57" i="7" s="1"/>
  <c r="B54" i="7"/>
  <c r="C3" i="11"/>
  <c r="I3" i="11" s="1"/>
  <c r="C57" i="7" l="1"/>
  <c r="F3" i="11"/>
  <c r="L3" i="11" s="1"/>
  <c r="B58" i="7"/>
  <c r="B60" i="7" s="1"/>
  <c r="B61" i="7"/>
  <c r="B62" i="7" s="1"/>
  <c r="B63" i="7" s="1"/>
  <c r="B67" i="7" s="1"/>
  <c r="B68" i="7" s="1"/>
  <c r="C11" i="12"/>
  <c r="C7" i="11"/>
  <c r="I7" i="11" s="1"/>
  <c r="C4" i="11"/>
  <c r="I4" i="11" s="1"/>
  <c r="B59" i="7" l="1"/>
  <c r="C61" i="7"/>
  <c r="C58" i="7"/>
  <c r="C60" i="7" s="1"/>
  <c r="F7" i="11" s="1"/>
  <c r="L7" i="11" s="1"/>
  <c r="G11" i="12"/>
  <c r="F4" i="11"/>
  <c r="L4" i="11" s="1"/>
  <c r="C15" i="12"/>
  <c r="C8" i="11"/>
  <c r="I8" i="11" s="1"/>
  <c r="C14" i="12"/>
  <c r="C12" i="12"/>
  <c r="C6" i="11"/>
  <c r="I6" i="11" s="1"/>
  <c r="C5" i="11"/>
  <c r="I5" i="11" s="1"/>
  <c r="G12" i="12" l="1"/>
  <c r="G14" i="12"/>
  <c r="C59" i="7"/>
  <c r="F6" i="11" s="1"/>
  <c r="L6" i="11" s="1"/>
  <c r="F5" i="11"/>
  <c r="L5" i="11" s="1"/>
  <c r="G15" i="12"/>
  <c r="C62" i="7"/>
  <c r="F8" i="11"/>
  <c r="L8" i="11" s="1"/>
  <c r="C16" i="12"/>
  <c r="C18" i="11"/>
  <c r="I18" i="11" s="1"/>
  <c r="C18" i="12"/>
  <c r="C19" i="12" s="1"/>
  <c r="C9" i="11"/>
  <c r="I9" i="11" s="1"/>
  <c r="I21" i="11" l="1"/>
  <c r="I22" i="11" s="1"/>
  <c r="I24" i="11" s="1"/>
  <c r="I26" i="11"/>
  <c r="G16" i="12"/>
  <c r="C63" i="7"/>
  <c r="G18" i="12"/>
  <c r="G19" i="12" s="1"/>
  <c r="F9" i="11"/>
  <c r="L9" i="11" s="1"/>
  <c r="C10" i="11"/>
  <c r="I10" i="11" s="1"/>
  <c r="C20" i="12"/>
  <c r="C21" i="11" s="1"/>
  <c r="C22" i="11" s="1"/>
  <c r="C24" i="11" s="1"/>
  <c r="G20" i="12" l="1"/>
  <c r="C67" i="7"/>
  <c r="C68" i="7" s="1"/>
  <c r="F18" i="11" s="1"/>
  <c r="F10" i="11"/>
  <c r="L10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<sst xmlns="http://schemas.openxmlformats.org/spreadsheetml/2006/main" count="316" uniqueCount="127">
  <si>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</si>
  <si>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</si>
  <si>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</si>
  <si>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</si>
  <si>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</si>
  <si>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</si>
  <si>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</si>
  <si>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</si>
  <si>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</si>
  <si>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</si>
  <si>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</si>
  <si>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</si>
  <si>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</si>
  <si>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</si>
  <si>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</si>
  <si>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</si>
  <si>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</si>
  <si>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</si>
  <si>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</si>
  <si>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</si>
  <si>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</si>
  <si>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</si>
  <si>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</si>
  <si>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</si>
  <si>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</si>
  <si>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</si>
  <si>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</si>
  <si>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</si>
  <si>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</si>
  <si>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</si>
  <si>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</si>
  <si>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</si>
  <si>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</si>
  <si>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</si>
  <si>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</si>
  <si>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</si>
  <si>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</si>
  <si>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</si>
  <si>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</si>
  <si>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</si>
  <si>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</si>
  <si>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</si>
  <si>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</si>
  <si>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</si>
  <si>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</si>
  <si>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</si>
  <si>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</si>
  <si>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</si>
  <si>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</si>
  <si>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</si>
  <si>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</si>
  <si>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</si>
  <si>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</si>
  <si>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</si>
  <si>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</si>
  <si>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</si>
  <si>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</si>
  <si>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</si>
  <si>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</si>
  <si>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</si>
  <si>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</si>
  <si>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</si>
  <si>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</si>
  <si>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</si>
  <si>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</si>
  <si>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</si>
  <si>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</si>
  <si>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</si>
  <si>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</si>
  <si>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</si>
  <si>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</si>
  <si>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</si>
  <si>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</si>
  <si>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</si>
  <si>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</si>
  <si>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</si>
  <si>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</si>
  <si>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</si>
  <si>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</si>
  <si>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</si>
  <si>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</si>
  <si>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</si>
  <si>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</si>
  <si>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</si>
  <si>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</si>
  <si>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</si>
  <si>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</si>
  <si>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</si>
  <si>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</si>
  <si>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</si>
  <si>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</si>
  <si>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</si>
  <si>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</si>
  <si>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</si>
  <si>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</si>
  <si>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</si>
  <si>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</si>
  <si>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</si>
  <si>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</si>
  <si>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</si>
  <si>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</si>
  <si>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</si>
  <si>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</si>
  <si>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</si>
  <si>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</si>
  <si>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</si>
  <si>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</si>
  <si>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</si>
  <si>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</si>
  <si>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</si>
  <si>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</si>
  <si>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</si>
  <si>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</si>
  <si>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</si>
  <si>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</si>
  <si>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</si>
  <si>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>K-102</t>
  </si>
  <si>
    <t xml:space="preserve">Centrifugal Compressor </t>
  </si>
  <si>
    <t>Power, kW</t>
  </si>
  <si>
    <t>K-103</t>
  </si>
  <si>
    <t>E-104</t>
  </si>
  <si>
    <t>E-105</t>
  </si>
  <si>
    <t>E-106</t>
  </si>
  <si>
    <t>E-107</t>
  </si>
  <si>
    <t>E-108</t>
  </si>
  <si>
    <t>E-109</t>
  </si>
  <si>
    <t>V-101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</si>
</sst>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64" fontId="0" fillId="0" borderId="0" xfId="0" applyNumberFormat="1"/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topLeftCell="A28" zoomScale="85" zoomScaleNormal="85" workbookViewId="0">
      <selection activeCell="M42" sqref="M42"/>
    </sheetView>
  </sheetViews>
  <sheetFormatPr defaultRowHeight="14.4" x14ac:dyDescent="0.3"/>
  <cols>
    <col min="1" max="1" width="27.88671875" bestFit="1" customWidth="1"/>
    <col min="2" max="2" width="22.6640625" bestFit="1" customWidth="1"/>
    <col min="3" max="3" width="16.109375" bestFit="1" customWidth="1"/>
    <col min="4" max="4" width="9.5546875" style="32" bestFit="1" customWidth="1"/>
    <col min="5" max="5" width="7.6640625" bestFit="1" customWidth="1"/>
    <col min="6" max="6" width="6.88671875" bestFit="1" customWidth="1"/>
    <col min="7" max="7" width="5.6640625" bestFit="1" customWidth="1"/>
    <col min="8" max="8" width="9.33203125" bestFit="1" customWidth="1"/>
    <col min="10" max="10" width="11.109375" bestFit="1" customWidth="1"/>
    <col min="11" max="11" width="11.5546875" bestFit="1" customWidth="1"/>
    <col min="12" max="12" width="7" bestFit="1" customWidth="1"/>
    <col min="13" max="13" width="9.33203125" bestFit="1" customWidth="1"/>
    <col min="14" max="14" width="9" bestFit="1" customWidth="1"/>
    <col min="15" max="15" width="8.33203125" bestFit="1" customWidth="1"/>
    <col min="16" max="16" width="7.5546875" bestFit="1" customWidth="1"/>
    <col min="17" max="17" width="10.8867187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2"/>
      <c r="B10" s="22"/>
      <c r="C10" s="22"/>
    </row>
    <row r="12" spans="1:17" ht="44.4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3">
      <c r="A13" s="46" t="s">
        <v>115</v>
      </c>
      <c r="B13" s="47"/>
      <c r="C13" s="47"/>
      <c r="D13" s="47"/>
      <c r="E13" s="47"/>
      <c r="F13" s="47"/>
      <c r="G13" s="47"/>
      <c r="H13" s="48"/>
      <c r="J13" s="34" t="s">
        <v>46</v>
      </c>
      <c r="K13" s="35">
        <v>8.6867999999999999</v>
      </c>
      <c r="L13" s="35">
        <v>30.4038</v>
      </c>
      <c r="M13" s="38">
        <f t="shared" ref="M13" si="0">K13+0.0254</f>
        <v>8.7121999999999993</v>
      </c>
      <c r="N13" s="38">
        <f t="shared" ref="N13" si="1">PI()*(M13*M13-K13*K13)/4</f>
        <v>0.34709462318177181</v>
      </c>
      <c r="O13" s="38">
        <f t="shared" ref="O13" si="2">N13*L13</f>
        <v>10.552995504293953</v>
      </c>
      <c r="P13" s="36">
        <v>8000</v>
      </c>
      <c r="Q13" s="35">
        <f t="shared" ref="Q13" si="3">P13*O13</f>
        <v>84423.964034351622</v>
      </c>
    </row>
    <row r="14" spans="1:17" x14ac:dyDescent="0.3">
      <c r="A14" s="6" t="s">
        <v>116</v>
      </c>
      <c r="B14" s="6" t="s">
        <v>117</v>
      </c>
      <c r="C14" s="6" t="s">
        <v>118</v>
      </c>
      <c r="D14" s="9">
        <v>13933.0042379182</v>
      </c>
      <c r="E14" s="8">
        <v>580000</v>
      </c>
      <c r="F14" s="8">
        <v>20000</v>
      </c>
      <c r="G14" s="9">
        <v>0.6</v>
      </c>
      <c r="H14" s="9">
        <f t="shared" ref="H14:H15" si="4">(E14+(F14*(D14^G14)))/1000000</f>
        <v>6.7099489421572533</v>
      </c>
      <c r="J14" s="34" t="s">
        <v>126</v>
      </c>
      <c r="K14" s="35">
        <v>7.4676</v>
      </c>
      <c r="L14" s="35">
        <v>26.136600000000001</v>
      </c>
      <c r="M14" s="38">
        <f t="shared" ref="M14" si="5">K14+0.0254</f>
        <v>7.4930000000000003</v>
      </c>
      <c r="N14" s="38">
        <f t="shared" ref="N14" si="6">PI()*(M14*M14-K14*K14)/4</f>
        <v>0.29845070518842903</v>
      </c>
      <c r="O14" s="38">
        <f t="shared" ref="O14" si="7">N14*L14</f>
        <v>7.8004867012278947</v>
      </c>
      <c r="P14" s="36">
        <v>8000</v>
      </c>
      <c r="Q14" s="35">
        <f t="shared" ref="Q14" si="8">P14*O14</f>
        <v>62403.893609823157</v>
      </c>
    </row>
    <row r="15" spans="1:17" x14ac:dyDescent="0.3">
      <c r="A15" s="6" t="s">
        <v>119</v>
      </c>
      <c r="B15" s="6" t="s">
        <v>117</v>
      </c>
      <c r="C15" s="6" t="s">
        <v>118</v>
      </c>
      <c r="D15" s="9">
        <v>5137.2427253793303</v>
      </c>
      <c r="E15" s="8">
        <v>580000</v>
      </c>
      <c r="F15" s="8">
        <v>20000</v>
      </c>
      <c r="G15" s="9">
        <v>0.6</v>
      </c>
      <c r="H15" s="9">
        <f t="shared" si="4"/>
        <v>3.9487442958890715</v>
      </c>
      <c r="J15" s="34" t="s">
        <v>91</v>
      </c>
      <c r="K15" s="35">
        <v>8.6867999999999999</v>
      </c>
      <c r="L15" s="35">
        <v>30.4038</v>
      </c>
      <c r="M15" s="38">
        <f t="shared" ref="M15" si="9">K15+0.0254</f>
        <v>8.7121999999999993</v>
      </c>
      <c r="N15" s="38">
        <f t="shared" ref="N15" si="10">PI()*(M15*M15-K15*K15)/4</f>
        <v>0.34709462318177181</v>
      </c>
      <c r="O15" s="38">
        <f t="shared" ref="O15" si="11">N15*L15</f>
        <v>10.552995504293953</v>
      </c>
      <c r="P15" s="36">
        <v>8000</v>
      </c>
      <c r="Q15" s="35">
        <f t="shared" ref="Q15" si="12">P15*O15</f>
        <v>84423.964034351622</v>
      </c>
    </row>
    <row r="16" spans="1:17" x14ac:dyDescent="0.3">
      <c r="A16" s="46" t="s">
        <v>89</v>
      </c>
      <c r="B16" s="47"/>
      <c r="C16" s="47"/>
      <c r="D16" s="47"/>
      <c r="E16" s="47"/>
      <c r="F16" s="47"/>
      <c r="G16" s="47"/>
      <c r="H16" s="48"/>
      <c r="K16" s="27"/>
    </row>
    <row r="17" spans="1:8" x14ac:dyDescent="0.3">
      <c r="A17" s="6" t="s">
        <v>120</v>
      </c>
      <c r="B17" s="6" t="s">
        <v>49</v>
      </c>
      <c r="C17" s="6" t="s">
        <v>50</v>
      </c>
      <c r="D17" s="21">
        <f>2804.63450119857/3</f>
        <v>934.87816706619003</v>
      </c>
      <c r="E17" s="8">
        <v>28000</v>
      </c>
      <c r="F17" s="8">
        <v>54</v>
      </c>
      <c r="G17" s="9">
        <v>1.2</v>
      </c>
      <c r="H17" s="9">
        <f t="shared" ref="H17" si="13">(E17+(F17*(D17^G17)))/1000000</f>
        <v>0.22628952882507036</v>
      </c>
    </row>
    <row r="18" spans="1:8" x14ac:dyDescent="0.3">
      <c r="A18" s="6" t="s">
        <v>120</v>
      </c>
      <c r="B18" s="6" t="s">
        <v>49</v>
      </c>
      <c r="C18" s="6" t="s">
        <v>50</v>
      </c>
      <c r="D18" s="21">
        <f t="shared" ref="D18:D19" si="14">2804.63450119857/3</f>
        <v>934.87816706619003</v>
      </c>
      <c r="E18" s="8">
        <v>28000</v>
      </c>
      <c r="F18" s="8">
        <v>54</v>
      </c>
      <c r="G18" s="9">
        <v>1.2</v>
      </c>
      <c r="H18" s="9">
        <f t="shared" ref="H18:H19" si="15">(E18+(F18*(D18^G18)))/1000000</f>
        <v>0.22628952882507036</v>
      </c>
    </row>
    <row r="19" spans="1:8" x14ac:dyDescent="0.3">
      <c r="A19" s="6" t="s">
        <v>120</v>
      </c>
      <c r="B19" s="6" t="s">
        <v>49</v>
      </c>
      <c r="C19" s="6" t="s">
        <v>50</v>
      </c>
      <c r="D19" s="21">
        <f t="shared" si="14"/>
        <v>934.87816706619003</v>
      </c>
      <c r="E19" s="8">
        <v>28000</v>
      </c>
      <c r="F19" s="8">
        <v>54</v>
      </c>
      <c r="G19" s="9">
        <v>1.2</v>
      </c>
      <c r="H19" s="9">
        <f t="shared" si="15"/>
        <v>0.22628952882507036</v>
      </c>
    </row>
    <row r="20" spans="1:8" x14ac:dyDescent="0.3">
      <c r="A20" s="6" t="s">
        <v>121</v>
      </c>
      <c r="B20" s="6" t="s">
        <v>49</v>
      </c>
      <c r="C20" s="6" t="s">
        <v>50</v>
      </c>
      <c r="D20" s="9">
        <f>10533.3291201941/11</f>
        <v>957.5753745630999</v>
      </c>
      <c r="E20" s="8">
        <v>28000</v>
      </c>
      <c r="F20" s="8">
        <v>54</v>
      </c>
      <c r="G20" s="9">
        <v>1.2</v>
      </c>
      <c r="H20" s="9">
        <f t="shared" ref="H20" si="16">(E20+(F20*(D20^G20)))/1000000</f>
        <v>0.23208041214014474</v>
      </c>
    </row>
    <row r="21" spans="1:8" x14ac:dyDescent="0.3">
      <c r="A21" s="6" t="s">
        <v>121</v>
      </c>
      <c r="B21" s="6" t="s">
        <v>49</v>
      </c>
      <c r="C21" s="6" t="s">
        <v>50</v>
      </c>
      <c r="D21" s="9">
        <f t="shared" ref="D21:D30" si="17">10533.3291201941/11</f>
        <v>957.5753745630999</v>
      </c>
      <c r="E21" s="8">
        <v>28000</v>
      </c>
      <c r="F21" s="8">
        <v>54</v>
      </c>
      <c r="G21" s="9">
        <v>1.2</v>
      </c>
      <c r="H21" s="9">
        <f t="shared" ref="H21:H30" si="18">(E21+(F21*(D21^G21)))/1000000</f>
        <v>0.23208041214014474</v>
      </c>
    </row>
    <row r="22" spans="1:8" x14ac:dyDescent="0.3">
      <c r="A22" s="6" t="s">
        <v>121</v>
      </c>
      <c r="B22" s="6" t="s">
        <v>49</v>
      </c>
      <c r="C22" s="6" t="s">
        <v>50</v>
      </c>
      <c r="D22" s="9">
        <f t="shared" si="17"/>
        <v>957.5753745630999</v>
      </c>
      <c r="E22" s="8">
        <v>28000</v>
      </c>
      <c r="F22" s="8">
        <v>54</v>
      </c>
      <c r="G22" s="9">
        <v>1.2</v>
      </c>
      <c r="H22" s="9">
        <f t="shared" si="18"/>
        <v>0.23208041214014474</v>
      </c>
    </row>
    <row r="23" spans="1:8" x14ac:dyDescent="0.3">
      <c r="A23" s="6" t="s">
        <v>121</v>
      </c>
      <c r="B23" s="6" t="s">
        <v>49</v>
      </c>
      <c r="C23" s="6" t="s">
        <v>50</v>
      </c>
      <c r="D23" s="9">
        <f t="shared" si="17"/>
        <v>957.5753745630999</v>
      </c>
      <c r="E23" s="8">
        <v>28000</v>
      </c>
      <c r="F23" s="8">
        <v>54</v>
      </c>
      <c r="G23" s="9">
        <v>1.2</v>
      </c>
      <c r="H23" s="9">
        <f t="shared" si="18"/>
        <v>0.23208041214014474</v>
      </c>
    </row>
    <row r="24" spans="1:8" x14ac:dyDescent="0.3">
      <c r="A24" s="6" t="s">
        <v>121</v>
      </c>
      <c r="B24" s="6" t="s">
        <v>49</v>
      </c>
      <c r="C24" s="6" t="s">
        <v>50</v>
      </c>
      <c r="D24" s="9">
        <f t="shared" si="17"/>
        <v>957.5753745630999</v>
      </c>
      <c r="E24" s="8">
        <v>28000</v>
      </c>
      <c r="F24" s="8">
        <v>54</v>
      </c>
      <c r="G24" s="9">
        <v>1.2</v>
      </c>
      <c r="H24" s="9">
        <f t="shared" si="18"/>
        <v>0.23208041214014474</v>
      </c>
    </row>
    <row r="25" spans="1:8" x14ac:dyDescent="0.3">
      <c r="A25" s="6" t="s">
        <v>121</v>
      </c>
      <c r="B25" s="6" t="s">
        <v>49</v>
      </c>
      <c r="C25" s="6" t="s">
        <v>50</v>
      </c>
      <c r="D25" s="9">
        <f t="shared" si="17"/>
        <v>957.5753745630999</v>
      </c>
      <c r="E25" s="8">
        <v>28000</v>
      </c>
      <c r="F25" s="8">
        <v>54</v>
      </c>
      <c r="G25" s="9">
        <v>1.2</v>
      </c>
      <c r="H25" s="9">
        <f t="shared" si="18"/>
        <v>0.23208041214014474</v>
      </c>
    </row>
    <row r="26" spans="1:8" x14ac:dyDescent="0.3">
      <c r="A26" s="6" t="s">
        <v>121</v>
      </c>
      <c r="B26" s="6" t="s">
        <v>49</v>
      </c>
      <c r="C26" s="6" t="s">
        <v>50</v>
      </c>
      <c r="D26" s="9">
        <f t="shared" si="17"/>
        <v>957.5753745630999</v>
      </c>
      <c r="E26" s="8">
        <v>28000</v>
      </c>
      <c r="F26" s="8">
        <v>54</v>
      </c>
      <c r="G26" s="9">
        <v>1.2</v>
      </c>
      <c r="H26" s="9">
        <f t="shared" si="18"/>
        <v>0.23208041214014474</v>
      </c>
    </row>
    <row r="27" spans="1:8" x14ac:dyDescent="0.3">
      <c r="A27" s="6" t="s">
        <v>121</v>
      </c>
      <c r="B27" s="6" t="s">
        <v>49</v>
      </c>
      <c r="C27" s="6" t="s">
        <v>50</v>
      </c>
      <c r="D27" s="9">
        <f t="shared" si="17"/>
        <v>957.5753745630999</v>
      </c>
      <c r="E27" s="8">
        <v>28000</v>
      </c>
      <c r="F27" s="8">
        <v>54</v>
      </c>
      <c r="G27" s="9">
        <v>1.2</v>
      </c>
      <c r="H27" s="9">
        <f t="shared" si="18"/>
        <v>0.23208041214014474</v>
      </c>
    </row>
    <row r="28" spans="1:8" x14ac:dyDescent="0.3">
      <c r="A28" s="6" t="s">
        <v>121</v>
      </c>
      <c r="B28" s="6" t="s">
        <v>49</v>
      </c>
      <c r="C28" s="6" t="s">
        <v>50</v>
      </c>
      <c r="D28" s="9">
        <f t="shared" si="17"/>
        <v>957.5753745630999</v>
      </c>
      <c r="E28" s="8">
        <v>28000</v>
      </c>
      <c r="F28" s="8">
        <v>54</v>
      </c>
      <c r="G28" s="9">
        <v>1.2</v>
      </c>
      <c r="H28" s="9">
        <f t="shared" si="18"/>
        <v>0.23208041214014474</v>
      </c>
    </row>
    <row r="29" spans="1:8" x14ac:dyDescent="0.3">
      <c r="A29" s="6" t="s">
        <v>121</v>
      </c>
      <c r="B29" s="6" t="s">
        <v>49</v>
      </c>
      <c r="C29" s="6" t="s">
        <v>50</v>
      </c>
      <c r="D29" s="9">
        <f t="shared" si="17"/>
        <v>957.5753745630999</v>
      </c>
      <c r="E29" s="8">
        <v>28000</v>
      </c>
      <c r="F29" s="8">
        <v>54</v>
      </c>
      <c r="G29" s="9">
        <v>1.2</v>
      </c>
      <c r="H29" s="9">
        <f t="shared" si="18"/>
        <v>0.23208041214014474</v>
      </c>
    </row>
    <row r="30" spans="1:8" x14ac:dyDescent="0.3">
      <c r="A30" s="6" t="s">
        <v>121</v>
      </c>
      <c r="B30" s="6" t="s">
        <v>49</v>
      </c>
      <c r="C30" s="6" t="s">
        <v>50</v>
      </c>
      <c r="D30" s="9">
        <f t="shared" si="17"/>
        <v>957.5753745630999</v>
      </c>
      <c r="E30" s="8">
        <v>28000</v>
      </c>
      <c r="F30" s="8">
        <v>54</v>
      </c>
      <c r="G30" s="9">
        <v>1.2</v>
      </c>
      <c r="H30" s="9">
        <f t="shared" si="18"/>
        <v>0.23208041214014474</v>
      </c>
    </row>
    <row r="31" spans="1:8" x14ac:dyDescent="0.3">
      <c r="A31" s="6" t="s">
        <v>122</v>
      </c>
      <c r="B31" s="6" t="s">
        <v>49</v>
      </c>
      <c r="C31" s="6" t="s">
        <v>50</v>
      </c>
      <c r="D31" s="9">
        <f>2514.3159326678/3</f>
        <v>838.10531088926666</v>
      </c>
      <c r="E31" s="8">
        <v>28000</v>
      </c>
      <c r="F31" s="8">
        <v>54</v>
      </c>
      <c r="G31" s="9">
        <v>1.2</v>
      </c>
      <c r="H31" s="9">
        <f t="shared" ref="H31:H40" si="19">(E31+(F31*(D31^G31)))/1000000</f>
        <v>0.20192101891253686</v>
      </c>
    </row>
    <row r="32" spans="1:8" x14ac:dyDescent="0.3">
      <c r="A32" s="6" t="s">
        <v>122</v>
      </c>
      <c r="B32" s="6" t="s">
        <v>49</v>
      </c>
      <c r="C32" s="6" t="s">
        <v>50</v>
      </c>
      <c r="D32" s="9">
        <f t="shared" ref="D32:D33" si="20">2514.3159326678/3</f>
        <v>838.10531088926666</v>
      </c>
      <c r="E32" s="8">
        <v>28000</v>
      </c>
      <c r="F32" s="8">
        <v>54</v>
      </c>
      <c r="G32" s="9">
        <v>1.2</v>
      </c>
      <c r="H32" s="9">
        <f t="shared" ref="H32:H33" si="21">(E32+(F32*(D32^G32)))/1000000</f>
        <v>0.20192101891253686</v>
      </c>
    </row>
    <row r="33" spans="1:8" x14ac:dyDescent="0.3">
      <c r="A33" s="6" t="s">
        <v>122</v>
      </c>
      <c r="B33" s="6" t="s">
        <v>49</v>
      </c>
      <c r="C33" s="6" t="s">
        <v>50</v>
      </c>
      <c r="D33" s="9">
        <f t="shared" si="20"/>
        <v>838.10531088926666</v>
      </c>
      <c r="E33" s="8">
        <v>28000</v>
      </c>
      <c r="F33" s="8">
        <v>54</v>
      </c>
      <c r="G33" s="9">
        <v>1.2</v>
      </c>
      <c r="H33" s="9">
        <f t="shared" si="21"/>
        <v>0.20192101891253686</v>
      </c>
    </row>
    <row r="34" spans="1:8" x14ac:dyDescent="0.3">
      <c r="A34" s="6" t="s">
        <v>123</v>
      </c>
      <c r="B34" s="6" t="s">
        <v>49</v>
      </c>
      <c r="C34" s="6" t="s">
        <v>50</v>
      </c>
      <c r="D34" s="9">
        <f>2433.82633534085/3</f>
        <v>811.27544511361668</v>
      </c>
      <c r="E34" s="8">
        <v>28000</v>
      </c>
      <c r="F34" s="8">
        <v>54</v>
      </c>
      <c r="G34" s="9">
        <v>1.2</v>
      </c>
      <c r="H34" s="9">
        <f t="shared" si="19"/>
        <v>0.19526141151997978</v>
      </c>
    </row>
    <row r="35" spans="1:8" x14ac:dyDescent="0.3">
      <c r="A35" s="6" t="s">
        <v>123</v>
      </c>
      <c r="B35" s="6" t="s">
        <v>49</v>
      </c>
      <c r="C35" s="6" t="s">
        <v>50</v>
      </c>
      <c r="D35" s="9">
        <f t="shared" ref="D35:D36" si="22">2433.82633534085/3</f>
        <v>811.27544511361668</v>
      </c>
      <c r="E35" s="8">
        <v>28000</v>
      </c>
      <c r="F35" s="8">
        <v>54</v>
      </c>
      <c r="G35" s="9">
        <v>1.2</v>
      </c>
      <c r="H35" s="9">
        <f t="shared" ref="H35:H36" si="23">(E35+(F35*(D35^G35)))/1000000</f>
        <v>0.19526141151997978</v>
      </c>
    </row>
    <row r="36" spans="1:8" x14ac:dyDescent="0.3">
      <c r="A36" s="6" t="s">
        <v>123</v>
      </c>
      <c r="B36" s="6" t="s">
        <v>49</v>
      </c>
      <c r="C36" s="6" t="s">
        <v>50</v>
      </c>
      <c r="D36" s="9">
        <f t="shared" si="22"/>
        <v>811.27544511361668</v>
      </c>
      <c r="E36" s="8">
        <v>28000</v>
      </c>
      <c r="F36" s="8">
        <v>54</v>
      </c>
      <c r="G36" s="9">
        <v>1.2</v>
      </c>
      <c r="H36" s="9">
        <f t="shared" si="23"/>
        <v>0.19526141151997978</v>
      </c>
    </row>
    <row r="37" spans="1:8" x14ac:dyDescent="0.3">
      <c r="A37" s="6" t="s">
        <v>124</v>
      </c>
      <c r="B37" s="6" t="s">
        <v>49</v>
      </c>
      <c r="C37" s="6" t="s">
        <v>50</v>
      </c>
      <c r="D37" s="9">
        <f>2939.89130662255/3</f>
        <v>979.9637688741833</v>
      </c>
      <c r="E37" s="8">
        <v>28000</v>
      </c>
      <c r="F37" s="8">
        <v>54</v>
      </c>
      <c r="G37" s="9">
        <v>1.2</v>
      </c>
      <c r="H37" s="9">
        <f t="shared" si="19"/>
        <v>0.23781946869706411</v>
      </c>
    </row>
    <row r="38" spans="1:8" x14ac:dyDescent="0.3">
      <c r="A38" s="6" t="s">
        <v>124</v>
      </c>
      <c r="B38" s="6" t="s">
        <v>49</v>
      </c>
      <c r="C38" s="6" t="s">
        <v>50</v>
      </c>
      <c r="D38" s="9">
        <f t="shared" ref="D38:D39" si="24">2939.89130662255/3</f>
        <v>979.9637688741833</v>
      </c>
      <c r="E38" s="8">
        <v>28000</v>
      </c>
      <c r="F38" s="8">
        <v>54</v>
      </c>
      <c r="G38" s="9">
        <v>1.2</v>
      </c>
      <c r="H38" s="9">
        <f t="shared" ref="H38:H39" si="25">(E38+(F38*(D38^G38)))/1000000</f>
        <v>0.23781946869706411</v>
      </c>
    </row>
    <row r="39" spans="1:8" x14ac:dyDescent="0.3">
      <c r="A39" s="6" t="s">
        <v>124</v>
      </c>
      <c r="B39" s="6" t="s">
        <v>49</v>
      </c>
      <c r="C39" s="6" t="s">
        <v>50</v>
      </c>
      <c r="D39" s="9">
        <f t="shared" si="24"/>
        <v>979.9637688741833</v>
      </c>
      <c r="E39" s="8">
        <v>28000</v>
      </c>
      <c r="F39" s="8">
        <v>54</v>
      </c>
      <c r="G39" s="9">
        <v>1.2</v>
      </c>
      <c r="H39" s="9">
        <f t="shared" si="25"/>
        <v>0.23781946869706411</v>
      </c>
    </row>
    <row r="40" spans="1:8" x14ac:dyDescent="0.3">
      <c r="A40" s="6" t="s">
        <v>125</v>
      </c>
      <c r="B40" s="6" t="s">
        <v>49</v>
      </c>
      <c r="C40" s="6" t="s">
        <v>50</v>
      </c>
      <c r="D40" s="9">
        <f>3623.83504397306/4</f>
        <v>905.95876099326495</v>
      </c>
      <c r="E40" s="8">
        <v>28000</v>
      </c>
      <c r="F40" s="8">
        <v>54</v>
      </c>
      <c r="G40" s="9">
        <v>1.2</v>
      </c>
      <c r="H40" s="9">
        <f t="shared" si="19"/>
        <v>0.21895185197919473</v>
      </c>
    </row>
    <row r="41" spans="1:8" x14ac:dyDescent="0.3">
      <c r="A41" s="6" t="s">
        <v>125</v>
      </c>
      <c r="B41" s="6" t="s">
        <v>49</v>
      </c>
      <c r="C41" s="6" t="s">
        <v>50</v>
      </c>
      <c r="D41" s="9">
        <f t="shared" ref="D41:D43" si="26">3623.83504397306/4</f>
        <v>905.95876099326495</v>
      </c>
      <c r="E41" s="8">
        <v>28000</v>
      </c>
      <c r="F41" s="8">
        <v>54</v>
      </c>
      <c r="G41" s="9">
        <v>1.2</v>
      </c>
      <c r="H41" s="9">
        <f t="shared" ref="H41:H43" si="27">(E41+(F41*(D41^G41)))/1000000</f>
        <v>0.21895185197919473</v>
      </c>
    </row>
    <row r="42" spans="1:8" x14ac:dyDescent="0.3">
      <c r="A42" s="6" t="s">
        <v>125</v>
      </c>
      <c r="B42" s="6" t="s">
        <v>49</v>
      </c>
      <c r="C42" s="6" t="s">
        <v>50</v>
      </c>
      <c r="D42" s="9">
        <f t="shared" si="26"/>
        <v>905.95876099326495</v>
      </c>
      <c r="E42" s="8">
        <v>28000</v>
      </c>
      <c r="F42" s="8">
        <v>54</v>
      </c>
      <c r="G42" s="9">
        <v>1.2</v>
      </c>
      <c r="H42" s="9">
        <f t="shared" si="27"/>
        <v>0.21895185197919473</v>
      </c>
    </row>
    <row r="43" spans="1:8" x14ac:dyDescent="0.3">
      <c r="A43" s="6" t="s">
        <v>125</v>
      </c>
      <c r="B43" s="6" t="s">
        <v>49</v>
      </c>
      <c r="C43" s="6" t="s">
        <v>50</v>
      </c>
      <c r="D43" s="9">
        <f t="shared" si="26"/>
        <v>905.95876099326495</v>
      </c>
      <c r="E43" s="8">
        <v>28000</v>
      </c>
      <c r="F43" s="8">
        <v>54</v>
      </c>
      <c r="G43" s="9">
        <v>1.2</v>
      </c>
      <c r="H43" s="9">
        <f t="shared" si="27"/>
        <v>0.21895185197919473</v>
      </c>
    </row>
    <row r="44" spans="1:8" x14ac:dyDescent="0.3">
      <c r="A44" s="49" t="s">
        <v>51</v>
      </c>
      <c r="B44" s="50"/>
      <c r="C44" s="50"/>
      <c r="D44" s="50"/>
      <c r="E44" s="50"/>
      <c r="F44" s="50"/>
      <c r="G44" s="50"/>
      <c r="H44" s="51"/>
    </row>
    <row r="45" spans="1:8" x14ac:dyDescent="0.3">
      <c r="A45" s="7" t="s">
        <v>91</v>
      </c>
      <c r="B45" s="6" t="s">
        <v>90</v>
      </c>
      <c r="C45" s="6" t="s">
        <v>52</v>
      </c>
      <c r="D45" s="9">
        <f>Q15</f>
        <v>84423.964034351622</v>
      </c>
      <c r="E45" s="8">
        <v>17400</v>
      </c>
      <c r="F45" s="8">
        <v>79</v>
      </c>
      <c r="G45" s="9">
        <v>0.85</v>
      </c>
      <c r="H45" s="9">
        <f>(E45+(F45*(D45^G45)))/1000000</f>
        <v>1.2339304122100998</v>
      </c>
    </row>
    <row r="46" spans="1:8" x14ac:dyDescent="0.3">
      <c r="A46" s="46" t="s">
        <v>92</v>
      </c>
      <c r="B46" s="47"/>
      <c r="C46" s="47"/>
      <c r="D46" s="47"/>
      <c r="E46" s="47"/>
      <c r="F46" s="47"/>
      <c r="G46" s="47"/>
      <c r="H46" s="48"/>
    </row>
    <row r="47" spans="1:8" x14ac:dyDescent="0.3">
      <c r="A47" s="6" t="s">
        <v>46</v>
      </c>
      <c r="B47" s="6" t="s">
        <v>90</v>
      </c>
      <c r="C47" s="6" t="s">
        <v>52</v>
      </c>
      <c r="D47" s="9">
        <f>Q13</f>
        <v>84423.964034351622</v>
      </c>
      <c r="E47" s="8">
        <v>17400</v>
      </c>
      <c r="F47" s="8">
        <v>79</v>
      </c>
      <c r="G47" s="9">
        <v>0.85</v>
      </c>
      <c r="H47" s="9">
        <f>(E47+(F47*(D47^G47)))/1000000</f>
        <v>1.2339304122100998</v>
      </c>
    </row>
    <row r="48" spans="1:8" x14ac:dyDescent="0.3">
      <c r="A48" s="6" t="s">
        <v>46</v>
      </c>
      <c r="B48" s="6" t="s">
        <v>90</v>
      </c>
      <c r="C48" s="6" t="s">
        <v>52</v>
      </c>
      <c r="D48" s="9">
        <f>Q14</f>
        <v>62403.893609823157</v>
      </c>
      <c r="E48" s="8">
        <v>17400</v>
      </c>
      <c r="F48" s="8">
        <v>79</v>
      </c>
      <c r="G48" s="9">
        <v>0.85</v>
      </c>
      <c r="H48" s="9">
        <f>(E48+(F48*(D48^G48)))/1000000</f>
        <v>0.95832937251091832</v>
      </c>
    </row>
    <row r="49" spans="1:8" x14ac:dyDescent="0.3">
      <c r="H49" s="39">
        <f>SUM(H16:H48)</f>
        <v>9.4387564222534426</v>
      </c>
    </row>
    <row r="50" spans="1:8" x14ac:dyDescent="0.3">
      <c r="A50" s="24" t="s">
        <v>34</v>
      </c>
      <c r="B50" s="21">
        <v>532.9</v>
      </c>
    </row>
    <row r="51" spans="1:8" x14ac:dyDescent="0.3">
      <c r="A51" s="24" t="s">
        <v>35</v>
      </c>
      <c r="B51" s="21">
        <v>607.5</v>
      </c>
    </row>
    <row r="52" spans="1:8" x14ac:dyDescent="0.3">
      <c r="A52" s="24" t="s">
        <v>93</v>
      </c>
      <c r="B52" s="21">
        <v>816</v>
      </c>
    </row>
    <row r="53" spans="1:8" x14ac:dyDescent="0.3">
      <c r="A53" s="24" t="s">
        <v>53</v>
      </c>
      <c r="B53" s="21">
        <f>H49*B51/B50</f>
        <v>10.760076049012886</v>
      </c>
    </row>
    <row r="54" spans="1:8" x14ac:dyDescent="0.3">
      <c r="A54" s="24" t="s">
        <v>94</v>
      </c>
      <c r="B54" s="21">
        <f>H49*B52/B50</f>
        <v>14.453040421390147</v>
      </c>
    </row>
    <row r="55" spans="1:8" x14ac:dyDescent="0.3">
      <c r="A55" s="40"/>
      <c r="B55" s="33"/>
    </row>
    <row r="56" spans="1:8" x14ac:dyDescent="0.3">
      <c r="B56" s="37">
        <v>2019</v>
      </c>
      <c r="C56" s="37">
        <v>2022</v>
      </c>
    </row>
    <row r="57" spans="1:8" x14ac:dyDescent="0.3">
      <c r="A57" s="26" t="s">
        <v>54</v>
      </c>
      <c r="B57" s="41">
        <f>(B53)*((1+C3)+(C2+C5+C4+C6+C7+C8)/C9)*C9</f>
        <v>40.242684423308198</v>
      </c>
      <c r="C57" s="41">
        <f>(B54)*((1+C3)+(C2+C5+C4+C6+C7+C8)/C9)*C9</f>
        <v>54.054371175999158</v>
      </c>
    </row>
    <row r="58" spans="1:8" x14ac:dyDescent="0.3">
      <c r="A58" s="26" t="s">
        <v>55</v>
      </c>
      <c r="B58" s="41">
        <f>0.3*B57</f>
        <v>12.072805326992459</v>
      </c>
      <c r="C58" s="41">
        <f>0.3*C57</f>
        <v>16.216311352799746</v>
      </c>
    </row>
    <row r="59" spans="1:8" x14ac:dyDescent="0.3">
      <c r="A59" s="26" t="s">
        <v>56</v>
      </c>
      <c r="B59" s="41">
        <f>0.3*SUM(B57:B58)</f>
        <v>15.694646925090197</v>
      </c>
      <c r="C59" s="41">
        <f>0.3*SUM(C57:C58)</f>
        <v>21.081204758639668</v>
      </c>
      <c r="D59"/>
    </row>
    <row r="60" spans="1:8" x14ac:dyDescent="0.3">
      <c r="A60" s="26" t="s">
        <v>57</v>
      </c>
      <c r="B60" s="41">
        <f>0.1*SUM(B57:B58)</f>
        <v>5.2315489750300657</v>
      </c>
      <c r="C60" s="41">
        <f>0.1*SUM(C57:C58)</f>
        <v>7.0270682528798902</v>
      </c>
      <c r="D60"/>
    </row>
    <row r="61" spans="1:8" x14ac:dyDescent="0.3">
      <c r="A61" s="26" t="s">
        <v>58</v>
      </c>
      <c r="B61" s="41">
        <f>B57*(1+0.3)*(1+0.3+0.1)</f>
        <v>73.241685650420919</v>
      </c>
      <c r="C61" s="41">
        <f>C57*(1+0.3)*(1+0.3+0.1)</f>
        <v>98.378955540318486</v>
      </c>
      <c r="D61"/>
    </row>
    <row r="62" spans="1:8" x14ac:dyDescent="0.3">
      <c r="A62" s="26" t="s">
        <v>61</v>
      </c>
      <c r="B62" s="41">
        <f>B61*0.15</f>
        <v>10.986252847563138</v>
      </c>
      <c r="C62" s="41">
        <f>C61*0.15</f>
        <v>14.756843331047772</v>
      </c>
      <c r="D62"/>
    </row>
    <row r="63" spans="1:8" x14ac:dyDescent="0.3">
      <c r="A63" s="26" t="s">
        <v>59</v>
      </c>
      <c r="B63" s="41">
        <f>B61+B62</f>
        <v>84.227938497984056</v>
      </c>
      <c r="C63" s="41">
        <f>C61+C62</f>
        <v>113.13579887136626</v>
      </c>
      <c r="D63"/>
    </row>
    <row r="64" spans="1:8" x14ac:dyDescent="0.3">
      <c r="A64" s="26" t="s">
        <v>26</v>
      </c>
      <c r="B64" s="41">
        <v>25</v>
      </c>
      <c r="C64" s="41">
        <v>25</v>
      </c>
    </row>
    <row r="65" spans="1:3" x14ac:dyDescent="0.3">
      <c r="A65" s="26" t="s">
        <v>27</v>
      </c>
      <c r="B65" s="41">
        <v>0.12</v>
      </c>
      <c r="C65" s="41">
        <v>0.12</v>
      </c>
    </row>
    <row r="66" spans="1:3" x14ac:dyDescent="0.3">
      <c r="A66" s="26" t="s">
        <v>28</v>
      </c>
      <c r="B66" s="41">
        <f>(B65*((1+B65)^B64))/(((1+B65)^B64)-1)</f>
        <v>0.12749996980950773</v>
      </c>
      <c r="C66" s="41">
        <f>(C65*((1+C65)^C64))/(((1+C65)^C64)-1)</f>
        <v>0.12749996980950773</v>
      </c>
    </row>
    <row r="67" spans="1:3" x14ac:dyDescent="0.3">
      <c r="A67" s="26" t="s">
        <v>60</v>
      </c>
      <c r="B67" s="41">
        <f>B66*B63</f>
        <v>10.73905961561004</v>
      </c>
      <c r="C67" s="41">
        <f>C66*C63</f>
        <v>14.424810940473737</v>
      </c>
    </row>
    <row r="68" spans="1:3" x14ac:dyDescent="0.3">
      <c r="A68" s="25" t="s">
        <v>36</v>
      </c>
      <c r="B68" s="19">
        <f>B67</f>
        <v>10.73905961561004</v>
      </c>
      <c r="C68" s="19">
        <f>C67</f>
        <v>14.424810940473737</v>
      </c>
    </row>
    <row r="82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</sheetData>
  <mergeCells count="4">
    <mergeCell ref="A16:H16"/>
    <mergeCell ref="A44:H44"/>
    <mergeCell ref="A46:H46"/>
    <mergeCell ref="A13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B29" sqref="B29"/>
    </sheetView>
  </sheetViews>
  <sheetFormatPr defaultRowHeight="14.4" x14ac:dyDescent="0.3"/>
  <cols>
    <col min="1" max="1" width="15.33203125" bestFit="1" customWidth="1"/>
    <col min="2" max="2" width="34.44140625" customWidth="1"/>
    <col min="3" max="3" width="8.5546875" bestFit="1" customWidth="1"/>
    <col min="5" max="5" width="15.33203125" customWidth="1"/>
    <col min="6" max="6" width="30.44140625" bestFit="1" customWidth="1"/>
    <col min="7" max="7" width="8.5546875" bestFit="1" customWidth="1"/>
  </cols>
  <sheetData>
    <row r="3" spans="1:7" x14ac:dyDescent="0.3">
      <c r="A3" s="52">
        <v>2019</v>
      </c>
      <c r="B3" s="52"/>
      <c r="C3" s="52"/>
      <c r="E3" s="52">
        <v>2022</v>
      </c>
      <c r="F3" s="52"/>
      <c r="G3" s="52"/>
    </row>
    <row r="4" spans="1:7" x14ac:dyDescent="0.3">
      <c r="A4" s="4" t="s">
        <v>65</v>
      </c>
      <c r="B4" s="4" t="s">
        <v>66</v>
      </c>
      <c r="C4" s="13" t="s">
        <v>37</v>
      </c>
      <c r="E4" s="37" t="s">
        <v>65</v>
      </c>
      <c r="F4" s="37" t="s">
        <v>66</v>
      </c>
      <c r="G4" s="13" t="s">
        <v>37</v>
      </c>
    </row>
    <row r="5" spans="1:7" x14ac:dyDescent="0.3">
      <c r="A5" s="52" t="s">
        <v>81</v>
      </c>
      <c r="B5" s="52"/>
      <c r="C5" s="52"/>
      <c r="E5" s="52" t="s">
        <v>81</v>
      </c>
      <c r="F5" s="52"/>
      <c r="G5" s="52"/>
    </row>
    <row r="6" spans="1:7" x14ac:dyDescent="0.3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3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3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3">
      <c r="A9" s="46"/>
      <c r="B9" s="48"/>
      <c r="C9" s="17">
        <f>SUM(C6:C8)</f>
        <v>7.3406250000000002</v>
      </c>
      <c r="E9" s="46"/>
      <c r="F9" s="48"/>
      <c r="G9" s="17">
        <f>SUM(G6:G8)</f>
        <v>7.3406250000000002</v>
      </c>
    </row>
    <row r="10" spans="1:7" x14ac:dyDescent="0.3">
      <c r="A10" s="52" t="s">
        <v>82</v>
      </c>
      <c r="B10" s="52"/>
      <c r="C10" s="52"/>
      <c r="E10" s="52" t="s">
        <v>82</v>
      </c>
      <c r="F10" s="52"/>
      <c r="G10" s="52"/>
    </row>
    <row r="11" spans="1:7" x14ac:dyDescent="0.3">
      <c r="A11" s="10" t="s">
        <v>69</v>
      </c>
      <c r="B11" s="10" t="s">
        <v>70</v>
      </c>
      <c r="C11" s="23">
        <f>0.03*CAPEX!B57</f>
        <v>1.207280532699246</v>
      </c>
      <c r="E11" s="10" t="s">
        <v>69</v>
      </c>
      <c r="F11" s="10" t="s">
        <v>70</v>
      </c>
      <c r="G11" s="23">
        <f>0.03*CAPEX!C57</f>
        <v>1.6216311352799746</v>
      </c>
    </row>
    <row r="12" spans="1:7" x14ac:dyDescent="0.3">
      <c r="A12" s="52"/>
      <c r="B12" s="52"/>
      <c r="C12" s="30">
        <f>C11</f>
        <v>1.207280532699246</v>
      </c>
      <c r="E12" s="52"/>
      <c r="F12" s="52"/>
      <c r="G12" s="30">
        <f>G11</f>
        <v>1.6216311352799746</v>
      </c>
    </row>
    <row r="13" spans="1:7" x14ac:dyDescent="0.3">
      <c r="A13" s="46" t="s">
        <v>71</v>
      </c>
      <c r="B13" s="47"/>
      <c r="C13" s="48"/>
      <c r="E13" s="46" t="s">
        <v>71</v>
      </c>
      <c r="F13" s="47"/>
      <c r="G13" s="48"/>
    </row>
    <row r="14" spans="1:7" x14ac:dyDescent="0.3">
      <c r="A14" s="10" t="s">
        <v>72</v>
      </c>
      <c r="B14" s="10" t="s">
        <v>74</v>
      </c>
      <c r="C14" s="21">
        <f>0.65*(C6+C7+C8+C11)</f>
        <v>5.5561385962545105</v>
      </c>
      <c r="E14" s="10" t="s">
        <v>72</v>
      </c>
      <c r="F14" s="10" t="s">
        <v>74</v>
      </c>
      <c r="G14" s="21">
        <f>0.65*(G6+G7+G8+G11)</f>
        <v>5.8254664879319842</v>
      </c>
    </row>
    <row r="15" spans="1:7" x14ac:dyDescent="0.3">
      <c r="A15" s="10" t="s">
        <v>75</v>
      </c>
      <c r="B15" s="10" t="s">
        <v>77</v>
      </c>
      <c r="C15" s="21">
        <f>0.02*(CAPEX!B57+CAPEX!B58)</f>
        <v>1.0463097950060132</v>
      </c>
      <c r="E15" s="10" t="s">
        <v>75</v>
      </c>
      <c r="F15" s="10" t="s">
        <v>77</v>
      </c>
      <c r="G15" s="21">
        <f>0.02*(CAPEX!C57+CAPEX!C58)</f>
        <v>1.405413650575978</v>
      </c>
    </row>
    <row r="16" spans="1:7" x14ac:dyDescent="0.3">
      <c r="A16" s="52"/>
      <c r="B16" s="52"/>
      <c r="C16" s="30">
        <f>SUM(C14:C15)</f>
        <v>6.6024483912605234</v>
      </c>
      <c r="E16" s="52"/>
      <c r="F16" s="52"/>
      <c r="G16" s="30">
        <f>SUM(G14:G15)</f>
        <v>7.2308801385079624</v>
      </c>
    </row>
    <row r="17" spans="1:7" x14ac:dyDescent="0.3">
      <c r="A17" s="46" t="s">
        <v>78</v>
      </c>
      <c r="B17" s="47"/>
      <c r="C17" s="48"/>
      <c r="E17" s="46" t="s">
        <v>78</v>
      </c>
      <c r="F17" s="47"/>
      <c r="G17" s="48"/>
    </row>
    <row r="18" spans="1:7" x14ac:dyDescent="0.3">
      <c r="A18" s="10" t="s">
        <v>79</v>
      </c>
      <c r="B18" s="10" t="s">
        <v>80</v>
      </c>
      <c r="C18" s="23">
        <f>0.06*CAPEX!B62</f>
        <v>0.65917517085378829</v>
      </c>
      <c r="E18" s="10" t="s">
        <v>79</v>
      </c>
      <c r="F18" s="10" t="s">
        <v>80</v>
      </c>
      <c r="G18" s="23">
        <f>0.06*CAPEX!C62</f>
        <v>0.8854105998628663</v>
      </c>
    </row>
    <row r="19" spans="1:7" x14ac:dyDescent="0.3">
      <c r="A19" s="52"/>
      <c r="B19" s="52"/>
      <c r="C19" s="17">
        <f>C18</f>
        <v>0.65917517085378829</v>
      </c>
      <c r="E19" s="52"/>
      <c r="F19" s="52"/>
      <c r="G19" s="17">
        <f>G18</f>
        <v>0.8854105998628663</v>
      </c>
    </row>
    <row r="20" spans="1:7" x14ac:dyDescent="0.3">
      <c r="A20" s="46" t="s">
        <v>83</v>
      </c>
      <c r="B20" s="48"/>
      <c r="C20" s="17">
        <f>C9+C12+C16+C19</f>
        <v>15.809529094813559</v>
      </c>
      <c r="E20" s="46" t="s">
        <v>83</v>
      </c>
      <c r="F20" s="48"/>
      <c r="G20" s="17">
        <f>G9+G12+G16+G19</f>
        <v>17.078546873650804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7"/>
  <sheetViews>
    <sheetView zoomScale="145" zoomScaleNormal="145" workbookViewId="0">
      <selection activeCell="I10" sqref="I10:J10"/>
    </sheetView>
  </sheetViews>
  <sheetFormatPr defaultColWidth="8.88671875" defaultRowHeight="14.4" x14ac:dyDescent="0.3"/>
  <cols>
    <col min="1" max="1" width="8.88671875" style="11"/>
    <col min="2" max="2" width="19.88671875" style="11" bestFit="1" customWidth="1"/>
    <col min="3" max="3" width="8.33203125" style="11" bestFit="1" customWidth="1"/>
    <col min="4" max="4" width="9" style="11" bestFit="1" customWidth="1"/>
    <col min="5" max="6" width="16.6640625" style="11" bestFit="1" customWidth="1"/>
    <col min="7" max="7" width="9.6640625" style="11" bestFit="1" customWidth="1"/>
    <col min="8" max="8" width="10" style="11" bestFit="1" customWidth="1"/>
    <col min="9" max="16384" width="8.88671875" style="11"/>
  </cols>
  <sheetData>
    <row r="2" spans="2:11" x14ac:dyDescent="0.3">
      <c r="B2" s="1"/>
    </row>
    <row r="3" spans="2:11" x14ac:dyDescent="0.3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3">
      <c r="B4" s="46" t="s">
        <v>105</v>
      </c>
      <c r="C4" s="47"/>
      <c r="D4" s="47"/>
      <c r="E4" s="47"/>
      <c r="F4" s="47"/>
      <c r="G4" s="47"/>
      <c r="H4" s="47"/>
      <c r="I4" s="1"/>
    </row>
    <row r="5" spans="2:11" x14ac:dyDescent="0.3">
      <c r="B5" s="12" t="s">
        <v>102</v>
      </c>
      <c r="C5" s="12" t="s">
        <v>31</v>
      </c>
      <c r="D5" s="23">
        <v>0</v>
      </c>
      <c r="E5" s="44">
        <f>123.25*C16/C15</f>
        <v>124.14918753108937</v>
      </c>
      <c r="F5" s="43">
        <f>E5*C17/C16</f>
        <v>166.75841485657438</v>
      </c>
      <c r="G5" s="43">
        <f>D5*E5</f>
        <v>0</v>
      </c>
      <c r="H5" s="43">
        <f>D5*F5</f>
        <v>0</v>
      </c>
      <c r="I5" s="11">
        <f>G5/Summary!$C$23</f>
        <v>0</v>
      </c>
      <c r="J5" s="11">
        <f>H5/Summary!$C$23</f>
        <v>0</v>
      </c>
    </row>
    <row r="6" spans="2:11" x14ac:dyDescent="0.3">
      <c r="B6" s="12" t="s">
        <v>103</v>
      </c>
      <c r="C6" s="12" t="s">
        <v>31</v>
      </c>
      <c r="D6" s="28">
        <f>34060.001373291/1000</f>
        <v>34.060001373291001</v>
      </c>
      <c r="E6" s="43">
        <v>465.07</v>
      </c>
      <c r="F6" s="43">
        <v>728.17</v>
      </c>
      <c r="G6" s="43">
        <f>D6*E6</f>
        <v>15840.284838676445</v>
      </c>
      <c r="H6" s="43">
        <f>D6*F6</f>
        <v>24801.471199989308</v>
      </c>
      <c r="I6" s="11">
        <f>G6/Summary!$C$23</f>
        <v>0.42225402735115125</v>
      </c>
      <c r="J6" s="11">
        <f>H6/Summary!$C$23</f>
        <v>0.66113212010296907</v>
      </c>
    </row>
    <row r="7" spans="2:11" x14ac:dyDescent="0.3">
      <c r="B7" s="42" t="s">
        <v>106</v>
      </c>
      <c r="C7" s="12" t="s">
        <v>31</v>
      </c>
      <c r="D7" s="28">
        <f>34060.001373291/1000</f>
        <v>34.060001373291001</v>
      </c>
      <c r="E7" s="43">
        <v>1313.2</v>
      </c>
      <c r="F7" s="43">
        <v>1366.03</v>
      </c>
      <c r="G7" s="43">
        <f>D7*E7</f>
        <v>44727.593803405747</v>
      </c>
      <c r="H7" s="43">
        <f>D7*F7</f>
        <v>46526.983675956704</v>
      </c>
      <c r="I7" s="11">
        <f>G7/Summary!$C$23</f>
        <v>1.19230220981257</v>
      </c>
      <c r="J7" s="11">
        <f>H7/Summary!$C$23</f>
        <v>1.2402684950276155</v>
      </c>
    </row>
    <row r="8" spans="2:11" x14ac:dyDescent="0.3">
      <c r="B8" s="46" t="s">
        <v>107</v>
      </c>
      <c r="C8" s="47"/>
      <c r="D8" s="47"/>
      <c r="E8" s="47"/>
      <c r="F8" s="47"/>
      <c r="G8" s="47"/>
      <c r="H8" s="47"/>
    </row>
    <row r="9" spans="2:11" x14ac:dyDescent="0.3">
      <c r="B9" s="14" t="s">
        <v>24</v>
      </c>
      <c r="C9" s="14" t="s">
        <v>32</v>
      </c>
      <c r="D9" s="9">
        <f>318203424.937963/10^6</f>
        <v>318.20342493796301</v>
      </c>
      <c r="E9" s="41">
        <v>0.38</v>
      </c>
      <c r="F9" s="43">
        <f>E9*C17/C16</f>
        <v>0.51041975308641974</v>
      </c>
      <c r="G9" s="43">
        <f>D9*E9</f>
        <v>120.91730147642595</v>
      </c>
      <c r="H9" s="43">
        <f>D9*F9</f>
        <v>162.41731358808818</v>
      </c>
      <c r="I9" s="11">
        <f>G9/Summary!$C$23</f>
        <v>3.2232891040058068E-3</v>
      </c>
      <c r="J9" s="11">
        <f>H9/Summary!$C$23</f>
        <v>4.3295537594547125E-3</v>
      </c>
    </row>
    <row r="10" spans="2:11" x14ac:dyDescent="0.3">
      <c r="B10" s="14" t="s">
        <v>25</v>
      </c>
      <c r="C10" s="14" t="s">
        <v>33</v>
      </c>
      <c r="D10" s="32">
        <v>13933.0042379182</v>
      </c>
      <c r="E10" s="41">
        <v>6.7830000000000001E-2</v>
      </c>
      <c r="F10" s="41">
        <v>8.5300000000000001E-2</v>
      </c>
      <c r="G10" s="43">
        <f>D10*E10</f>
        <v>945.07567745799145</v>
      </c>
      <c r="H10" s="43">
        <f>D10*F10</f>
        <v>1188.4852614944225</v>
      </c>
      <c r="I10" s="11">
        <f>G10/Summary!$C$23</f>
        <v>2.5192855748646919E-2</v>
      </c>
      <c r="J10" s="11">
        <f>H10/Summary!$C$23</f>
        <v>3.1681418183098664E-2</v>
      </c>
    </row>
    <row r="11" spans="2:11" x14ac:dyDescent="0.3">
      <c r="B11" s="4" t="s">
        <v>110</v>
      </c>
      <c r="C11" s="18" t="s">
        <v>37</v>
      </c>
      <c r="D11" s="16"/>
      <c r="E11" s="16"/>
      <c r="F11" s="19"/>
      <c r="G11" s="19">
        <f>(G5+G6+G9+G10)/1000000*8000</f>
        <v>135.25022254088688</v>
      </c>
      <c r="H11" s="19">
        <f>(H5+H6+H9+H10)/1000000*8000</f>
        <v>209.21899020057455</v>
      </c>
    </row>
    <row r="12" spans="2:11" x14ac:dyDescent="0.3">
      <c r="B12" s="37" t="s">
        <v>111</v>
      </c>
      <c r="C12" s="18" t="s">
        <v>37</v>
      </c>
      <c r="D12" s="16"/>
      <c r="E12" s="16"/>
      <c r="F12" s="19"/>
      <c r="G12" s="19">
        <f>(G5+G7+G9+G10)/1000000*8000</f>
        <v>366.34869425872131</v>
      </c>
      <c r="H12" s="19">
        <f>(H5+H7+H9+H10)/1000000*8000</f>
        <v>383.02309000831372</v>
      </c>
    </row>
    <row r="13" spans="2:11" x14ac:dyDescent="0.3">
      <c r="B13" s="15"/>
      <c r="C13" s="15"/>
      <c r="D13" s="15"/>
      <c r="E13" s="15"/>
      <c r="F13" s="15"/>
      <c r="G13" s="15"/>
      <c r="H13" s="15"/>
    </row>
    <row r="14" spans="2:11" x14ac:dyDescent="0.3">
      <c r="B14" s="29" t="s">
        <v>86</v>
      </c>
      <c r="C14" s="15"/>
      <c r="D14" s="15"/>
      <c r="E14" s="15"/>
      <c r="F14" s="15"/>
      <c r="G14" s="15"/>
      <c r="H14" s="15"/>
      <c r="K14"/>
    </row>
    <row r="15" spans="2:11" x14ac:dyDescent="0.3">
      <c r="B15" s="14" t="s">
        <v>85</v>
      </c>
      <c r="C15" s="23">
        <v>603.1</v>
      </c>
    </row>
    <row r="16" spans="2:11" x14ac:dyDescent="0.3">
      <c r="B16" s="14" t="s">
        <v>35</v>
      </c>
      <c r="C16" s="21">
        <v>607.5</v>
      </c>
    </row>
    <row r="17" spans="2:3" x14ac:dyDescent="0.3">
      <c r="B17" s="24" t="s">
        <v>93</v>
      </c>
      <c r="C17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6"/>
  <sheetViews>
    <sheetView tabSelected="1" zoomScale="70" zoomScaleNormal="70" workbookViewId="0">
      <selection activeCell="L26" activeCellId="1" sqref="I26 L26"/>
    </sheetView>
  </sheetViews>
  <sheetFormatPr defaultRowHeight="14.4" x14ac:dyDescent="0.3"/>
  <cols>
    <col min="2" max="2" width="38.5546875" bestFit="1" customWidth="1"/>
    <col min="3" max="3" width="12.109375" bestFit="1" customWidth="1"/>
    <col min="5" max="5" width="36.5546875" bestFit="1" customWidth="1"/>
    <col min="6" max="6" width="12.5546875" bestFit="1" customWidth="1"/>
    <col min="8" max="8" width="36.5546875" bestFit="1" customWidth="1"/>
    <col min="9" max="9" width="12.5546875" bestFit="1" customWidth="1"/>
    <col min="11" max="11" width="36.5546875" bestFit="1" customWidth="1"/>
    <col min="12" max="12" width="12.5546875" bestFit="1" customWidth="1"/>
  </cols>
  <sheetData>
    <row r="2" spans="2:12" x14ac:dyDescent="0.3">
      <c r="B2" s="52" t="s">
        <v>100</v>
      </c>
      <c r="C2" s="52"/>
      <c r="E2" s="52" t="s">
        <v>101</v>
      </c>
      <c r="F2" s="52"/>
      <c r="H2" s="52" t="s">
        <v>112</v>
      </c>
      <c r="I2" s="52"/>
      <c r="K2" s="52" t="s">
        <v>113</v>
      </c>
      <c r="L2" s="52"/>
    </row>
    <row r="3" spans="2:12" x14ac:dyDescent="0.3">
      <c r="B3" s="10" t="s">
        <v>62</v>
      </c>
      <c r="C3" s="21">
        <f>SUM(CAPEX!B53)</f>
        <v>10.760076049012886</v>
      </c>
      <c r="E3" s="10" t="s">
        <v>95</v>
      </c>
      <c r="F3" s="21">
        <f>CAPEX!B54</f>
        <v>14.453040421390147</v>
      </c>
      <c r="H3" s="10" t="s">
        <v>62</v>
      </c>
      <c r="I3" s="21">
        <f t="shared" ref="I3:I18" si="0">C3</f>
        <v>10.760076049012886</v>
      </c>
      <c r="K3" s="10" t="s">
        <v>95</v>
      </c>
      <c r="L3" s="21">
        <f t="shared" ref="L3:L18" si="1">F3</f>
        <v>14.453040421390147</v>
      </c>
    </row>
    <row r="4" spans="2:12" x14ac:dyDescent="0.3">
      <c r="B4" s="26" t="s">
        <v>54</v>
      </c>
      <c r="C4" s="21">
        <f>SUM(CAPEX!B57)</f>
        <v>40.242684423308198</v>
      </c>
      <c r="E4" s="26" t="s">
        <v>54</v>
      </c>
      <c r="F4" s="21">
        <f>CAPEX!C57</f>
        <v>54.054371175999158</v>
      </c>
      <c r="H4" s="26" t="s">
        <v>54</v>
      </c>
      <c r="I4" s="21">
        <f t="shared" si="0"/>
        <v>40.242684423308198</v>
      </c>
      <c r="K4" s="26" t="s">
        <v>54</v>
      </c>
      <c r="L4" s="21">
        <f t="shared" si="1"/>
        <v>54.054371175999158</v>
      </c>
    </row>
    <row r="5" spans="2:12" x14ac:dyDescent="0.3">
      <c r="B5" s="26" t="s">
        <v>55</v>
      </c>
      <c r="C5" s="21">
        <f>SUM(CAPEX!B58)</f>
        <v>12.072805326992459</v>
      </c>
      <c r="E5" s="26" t="s">
        <v>55</v>
      </c>
      <c r="F5" s="21">
        <f>CAPEX!C58</f>
        <v>16.216311352799746</v>
      </c>
      <c r="H5" s="26" t="s">
        <v>55</v>
      </c>
      <c r="I5" s="21">
        <f t="shared" si="0"/>
        <v>12.072805326992459</v>
      </c>
      <c r="K5" s="26" t="s">
        <v>55</v>
      </c>
      <c r="L5" s="21">
        <f t="shared" si="1"/>
        <v>16.216311352799746</v>
      </c>
    </row>
    <row r="6" spans="2:12" x14ac:dyDescent="0.3">
      <c r="B6" s="26" t="s">
        <v>76</v>
      </c>
      <c r="C6" s="21">
        <f>SUM(CAPEX!B59)</f>
        <v>15.694646925090197</v>
      </c>
      <c r="E6" s="26" t="s">
        <v>76</v>
      </c>
      <c r="F6" s="21">
        <f>CAPEX!C59</f>
        <v>21.081204758639668</v>
      </c>
      <c r="H6" s="26" t="s">
        <v>76</v>
      </c>
      <c r="I6" s="21">
        <f t="shared" si="0"/>
        <v>15.694646925090197</v>
      </c>
      <c r="K6" s="26" t="s">
        <v>76</v>
      </c>
      <c r="L6" s="21">
        <f t="shared" si="1"/>
        <v>21.081204758639668</v>
      </c>
    </row>
    <row r="7" spans="2:12" x14ac:dyDescent="0.3">
      <c r="B7" s="26" t="s">
        <v>57</v>
      </c>
      <c r="C7" s="21">
        <f>SUM(CAPEX!B60)</f>
        <v>5.2315489750300657</v>
      </c>
      <c r="E7" s="26" t="s">
        <v>57</v>
      </c>
      <c r="F7" s="21">
        <f>CAPEX!C60</f>
        <v>7.0270682528798902</v>
      </c>
      <c r="H7" s="26" t="s">
        <v>57</v>
      </c>
      <c r="I7" s="21">
        <f t="shared" si="0"/>
        <v>5.2315489750300657</v>
      </c>
      <c r="K7" s="26" t="s">
        <v>57</v>
      </c>
      <c r="L7" s="21">
        <f t="shared" si="1"/>
        <v>7.0270682528798902</v>
      </c>
    </row>
    <row r="8" spans="2:12" x14ac:dyDescent="0.3">
      <c r="B8" s="26" t="s">
        <v>58</v>
      </c>
      <c r="C8" s="21">
        <f>SUM(CAPEX!B61)</f>
        <v>73.241685650420919</v>
      </c>
      <c r="E8" s="26" t="s">
        <v>58</v>
      </c>
      <c r="F8" s="21">
        <f>CAPEX!C61</f>
        <v>98.378955540318486</v>
      </c>
      <c r="H8" s="26" t="s">
        <v>58</v>
      </c>
      <c r="I8" s="21">
        <f t="shared" si="0"/>
        <v>73.241685650420919</v>
      </c>
      <c r="K8" s="26" t="s">
        <v>58</v>
      </c>
      <c r="L8" s="21">
        <f t="shared" si="1"/>
        <v>98.378955540318486</v>
      </c>
    </row>
    <row r="9" spans="2:12" x14ac:dyDescent="0.3">
      <c r="B9" s="26" t="s">
        <v>61</v>
      </c>
      <c r="C9" s="21">
        <f>SUM(CAPEX!B62)</f>
        <v>10.986252847563138</v>
      </c>
      <c r="E9" s="26" t="s">
        <v>61</v>
      </c>
      <c r="F9" s="21">
        <f>CAPEX!C62</f>
        <v>14.756843331047772</v>
      </c>
      <c r="H9" s="26" t="s">
        <v>61</v>
      </c>
      <c r="I9" s="21">
        <f t="shared" si="0"/>
        <v>10.986252847563138</v>
      </c>
      <c r="K9" s="26" t="s">
        <v>61</v>
      </c>
      <c r="L9" s="21">
        <f t="shared" si="1"/>
        <v>14.756843331047772</v>
      </c>
    </row>
    <row r="10" spans="2:12" x14ac:dyDescent="0.3">
      <c r="B10" s="10" t="s">
        <v>59</v>
      </c>
      <c r="C10" s="21">
        <f>SUM(CAPEX!B63)</f>
        <v>84.227938497984056</v>
      </c>
      <c r="E10" s="10" t="s">
        <v>59</v>
      </c>
      <c r="F10" s="21">
        <f>CAPEX!C63</f>
        <v>113.13579887136626</v>
      </c>
      <c r="H10" s="10" t="s">
        <v>59</v>
      </c>
      <c r="I10" s="21">
        <f t="shared" si="0"/>
        <v>84.227938497984056</v>
      </c>
      <c r="K10" s="10" t="s">
        <v>59</v>
      </c>
      <c r="L10" s="21">
        <f t="shared" si="1"/>
        <v>113.13579887136626</v>
      </c>
    </row>
    <row r="11" spans="2:12" x14ac:dyDescent="0.3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3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3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3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3">
      <c r="B15" s="10" t="s">
        <v>26</v>
      </c>
      <c r="C15" s="21">
        <f>SUM(CAPEX!B64)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3">
      <c r="B16" s="10" t="s">
        <v>27</v>
      </c>
      <c r="C16" s="21">
        <f>SUM(CAPEX!B65)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3">
      <c r="B17" s="10" t="s">
        <v>28</v>
      </c>
      <c r="C17" s="20">
        <f>SUM(CAPEX!B66)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3">
      <c r="B18" s="13" t="s">
        <v>36</v>
      </c>
      <c r="C18" s="17">
        <f>SUM(CAPEX!B68)</f>
        <v>10.73905961561004</v>
      </c>
      <c r="E18" s="13" t="s">
        <v>36</v>
      </c>
      <c r="F18" s="17">
        <f>CAPEX!C68</f>
        <v>14.424810940473737</v>
      </c>
      <c r="H18" s="13" t="s">
        <v>36</v>
      </c>
      <c r="I18" s="17">
        <f t="shared" si="0"/>
        <v>10.73905961561004</v>
      </c>
      <c r="K18" s="13" t="s">
        <v>36</v>
      </c>
      <c r="L18" s="17">
        <f t="shared" si="1"/>
        <v>14.424810940473737</v>
      </c>
    </row>
    <row r="19" spans="2:12" x14ac:dyDescent="0.3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3">
      <c r="B20" s="13" t="s">
        <v>88</v>
      </c>
      <c r="C20" s="17">
        <f>OPEX!G11</f>
        <v>135.25022254088688</v>
      </c>
      <c r="E20" s="13" t="s">
        <v>88</v>
      </c>
      <c r="F20" s="17">
        <f>OPEX!H11</f>
        <v>209.21899020057455</v>
      </c>
      <c r="H20" s="13" t="s">
        <v>88</v>
      </c>
      <c r="I20" s="17">
        <f>OPEX!G12</f>
        <v>366.34869425872131</v>
      </c>
      <c r="K20" s="13" t="s">
        <v>88</v>
      </c>
      <c r="L20" s="17">
        <f>OPEX!H12</f>
        <v>383.02309000831372</v>
      </c>
    </row>
    <row r="21" spans="2:12" x14ac:dyDescent="0.3">
      <c r="B21" s="13" t="s">
        <v>98</v>
      </c>
      <c r="C21" s="17">
        <f>(C18+C19+C20)</f>
        <v>145.98928215649693</v>
      </c>
      <c r="E21" s="13" t="s">
        <v>98</v>
      </c>
      <c r="F21" s="17">
        <f>(F18+F19+F20)</f>
        <v>223.6438011410483</v>
      </c>
      <c r="H21" s="13" t="s">
        <v>98</v>
      </c>
      <c r="I21" s="17">
        <f>(I18+I19+I20)</f>
        <v>377.08775387433133</v>
      </c>
      <c r="K21" s="13" t="s">
        <v>98</v>
      </c>
      <c r="L21" s="17">
        <f>(L18+L19+L20)</f>
        <v>397.44790094878744</v>
      </c>
    </row>
    <row r="22" spans="2:12" x14ac:dyDescent="0.3">
      <c r="B22" s="13" t="s">
        <v>97</v>
      </c>
      <c r="C22" s="17">
        <f>(C21)*1000000/8000</f>
        <v>18248.660269562115</v>
      </c>
      <c r="E22" s="13" t="s">
        <v>97</v>
      </c>
      <c r="F22" s="17">
        <f>(F21)*1000000/8000</f>
        <v>27955.475142631039</v>
      </c>
      <c r="H22" s="13" t="s">
        <v>97</v>
      </c>
      <c r="I22" s="17">
        <f>(I21)*1000000/8000</f>
        <v>47135.96923429142</v>
      </c>
      <c r="K22" s="13" t="s">
        <v>97</v>
      </c>
      <c r="L22" s="17">
        <f>(L21)*1000000/8000</f>
        <v>49680.987618598432</v>
      </c>
    </row>
    <row r="23" spans="2:12" x14ac:dyDescent="0.3">
      <c r="B23" s="29" t="s">
        <v>96</v>
      </c>
      <c r="C23" s="17">
        <v>37513.638266624475</v>
      </c>
      <c r="E23" s="29" t="s">
        <v>96</v>
      </c>
      <c r="F23" s="17">
        <v>37513.638266624475</v>
      </c>
      <c r="H23" s="29" t="s">
        <v>96</v>
      </c>
      <c r="I23" s="17">
        <v>37513.638266624475</v>
      </c>
      <c r="K23" s="29" t="s">
        <v>96</v>
      </c>
      <c r="L23" s="17">
        <v>37513.638266624475</v>
      </c>
    </row>
    <row r="24" spans="2:12" x14ac:dyDescent="0.3">
      <c r="B24" s="31" t="s">
        <v>114</v>
      </c>
      <c r="C24" s="45">
        <f>C22/C23</f>
        <v>0.4864540234637218</v>
      </c>
      <c r="E24" s="31" t="s">
        <v>114</v>
      </c>
      <c r="F24" s="45">
        <f>F22/F23</f>
        <v>0.74520831447859748</v>
      </c>
      <c r="H24" s="31" t="s">
        <v>114</v>
      </c>
      <c r="I24" s="45">
        <f>I22/I23</f>
        <v>1.2565022059251405</v>
      </c>
      <c r="K24" s="31" t="s">
        <v>114</v>
      </c>
      <c r="L24" s="45">
        <f>L22/L23</f>
        <v>1.3243446894032438</v>
      </c>
    </row>
    <row r="26" spans="2:12" x14ac:dyDescent="0.3">
      <c r="I26">
        <f>I18*10^6/8000/I23</f>
        <v>3.5783851259917912E-2</v>
      </c>
      <c r="L26">
        <f>L18*10^6/8000/L23</f>
        <v>4.8065222433074935E-2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2023-11-28T23:33:33Z</dcterms:modified>
</cp:coreProperties>
</file>