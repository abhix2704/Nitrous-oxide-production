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04"/>
  <workbookPr/>
  <mc:AlternateContent xmlns:mc="http://schemas.openxmlformats.org/markup-compatibility/2006">
    <mc:Choice Requires="x15">
      <x15ac:absPath xmlns:x15ac="http://schemas.microsoft.com/office/spreadsheetml/2010/11/ac" url="C:\Users\anabera\Desktop\Side projects\Nitrous oxide production\AON process\v1\100%\"/>
    </mc:Choice>
  </mc:AlternateContent>
  <xr:revisionPtr revIDLastSave="0" documentId="13_ncr:1_{DC6E3973-DC7B-4B41-BF2D-2291A9FD3BCC}" xr6:coauthVersionLast="36" xr6:coauthVersionMax="36" xr10:uidLastSave="{00000000-0000-0000-0000-000000000000}"/>
  <bookViews>
    <workbookView xWindow="0" yWindow="0" windowWidth="19200" windowHeight="6585" activeTab="2" xr2:uid="{00000000-000D-0000-FFFF-FFFF00000000}"/>
  </bookViews>
  <sheets>
    <sheet name="Material streams" sheetId="1" r:id="rId1"/>
    <sheet name="Electricity" sheetId="2" r:id="rId2"/>
    <sheet name="Utilities" sheetId="3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6" i="1" l="1"/>
  <c r="D7" i="1" l="1"/>
  <c r="G6" i="1" l="1"/>
  <c r="E3" i="3"/>
  <c r="D4" i="2"/>
  <c r="D3" i="2" l="1"/>
  <c r="D2" i="3"/>
  <c r="E6" i="1"/>
  <c r="E5" i="1"/>
  <c r="E4" i="1"/>
  <c r="E7" i="1"/>
  <c r="C5" i="2" l="1"/>
  <c r="G13" i="3" l="1"/>
  <c r="C5" i="3" s="1"/>
  <c r="D5" i="3" s="1"/>
  <c r="G12" i="3"/>
  <c r="C4" i="3" s="1"/>
  <c r="D4" i="3" s="1"/>
  <c r="G11" i="3"/>
  <c r="C3" i="3" s="1"/>
  <c r="D3" i="3" s="1"/>
  <c r="G10" i="3"/>
  <c r="D5" i="2" l="1"/>
</calcChain>
</file>

<file path=xl/sharedStrings.xml><?xml version="1.0" encoding="utf-8"?>
<sst xmlns="http://schemas.openxmlformats.org/spreadsheetml/2006/main" count="48" uniqueCount="38">
  <si>
    <t>Component</t>
  </si>
  <si>
    <t>Type</t>
  </si>
  <si>
    <t>Mass flow (kg/hr)</t>
  </si>
  <si>
    <t>Water</t>
  </si>
  <si>
    <t>Ammonia</t>
  </si>
  <si>
    <t>kWh</t>
  </si>
  <si>
    <t>Block</t>
  </si>
  <si>
    <t>Compressor</t>
  </si>
  <si>
    <t>K-100</t>
  </si>
  <si>
    <t>Total</t>
  </si>
  <si>
    <t>Utility</t>
  </si>
  <si>
    <t>Load (kJ/h)</t>
  </si>
  <si>
    <t>Target Load (kJ/h)</t>
  </si>
  <si>
    <t>Target Flow Rate (kg/h)</t>
  </si>
  <si>
    <t>Effective Cp (kJ/kg C)</t>
  </si>
  <si>
    <t>ΔT</t>
  </si>
  <si>
    <r>
      <t>T</t>
    </r>
    <r>
      <rPr>
        <b/>
        <vertAlign val="subscript"/>
        <sz val="11"/>
        <color theme="1"/>
        <rFont val="Calibri"/>
        <family val="2"/>
        <scheme val="minor"/>
      </rPr>
      <t>in</t>
    </r>
  </si>
  <si>
    <r>
      <t>T</t>
    </r>
    <r>
      <rPr>
        <b/>
        <vertAlign val="subscript"/>
        <sz val="11"/>
        <color theme="1"/>
        <rFont val="Calibri"/>
        <family val="2"/>
        <scheme val="minor"/>
      </rPr>
      <t>out</t>
    </r>
  </si>
  <si>
    <t xml:space="preserve"> </t>
  </si>
  <si>
    <t>Cooling water</t>
  </si>
  <si>
    <r>
      <t>Final product: N</t>
    </r>
    <r>
      <rPr>
        <b/>
        <vertAlign val="subscript"/>
        <sz val="11"/>
        <color theme="1"/>
        <rFont val="Calibri"/>
        <family val="2"/>
        <scheme val="minor"/>
      </rPr>
      <t>2</t>
    </r>
    <r>
      <rPr>
        <b/>
        <sz val="11"/>
        <color theme="1"/>
        <rFont val="Calibri"/>
        <family val="2"/>
        <scheme val="minor"/>
      </rPr>
      <t>O</t>
    </r>
  </si>
  <si>
    <r>
      <t>Mass/kg N</t>
    </r>
    <r>
      <rPr>
        <b/>
        <vertAlign val="subscript"/>
        <sz val="11"/>
        <color theme="1"/>
        <rFont val="Calibri"/>
        <family val="2"/>
        <scheme val="minor"/>
      </rPr>
      <t>2</t>
    </r>
    <r>
      <rPr>
        <b/>
        <sz val="11"/>
        <color theme="1"/>
        <rFont val="Calibri"/>
        <family val="2"/>
        <scheme val="minor"/>
      </rPr>
      <t>O</t>
    </r>
  </si>
  <si>
    <r>
      <t>N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O</t>
    </r>
  </si>
  <si>
    <r>
      <t>NH</t>
    </r>
    <r>
      <rPr>
        <vertAlign val="subscript"/>
        <sz val="11"/>
        <color theme="1"/>
        <rFont val="Calibri"/>
        <family val="2"/>
        <scheme val="minor"/>
      </rPr>
      <t>3</t>
    </r>
  </si>
  <si>
    <t>Nitrous oxide</t>
  </si>
  <si>
    <t>Feed</t>
  </si>
  <si>
    <t>Emissions</t>
  </si>
  <si>
    <t>Product</t>
  </si>
  <si>
    <t>Stream name</t>
  </si>
  <si>
    <t>HP steam generation</t>
  </si>
  <si>
    <t>LP steam generation</t>
  </si>
  <si>
    <t>MP steam generation</t>
  </si>
  <si>
    <t>Data used for calculating the mass flow rate taken from Aspen energy analyzer</t>
  </si>
  <si>
    <t>Flow rate (kg/h)</t>
  </si>
  <si>
    <r>
      <t>kWh/kg N</t>
    </r>
    <r>
      <rPr>
        <b/>
        <vertAlign val="subscript"/>
        <sz val="11"/>
        <color theme="1"/>
        <rFont val="Calibri"/>
        <family val="2"/>
        <scheme val="minor"/>
      </rPr>
      <t>2</t>
    </r>
    <r>
      <rPr>
        <b/>
        <sz val="11"/>
        <color theme="1"/>
        <rFont val="Calibri"/>
        <family val="2"/>
        <scheme val="minor"/>
      </rPr>
      <t>O</t>
    </r>
  </si>
  <si>
    <r>
      <t>Flow/kg N</t>
    </r>
    <r>
      <rPr>
        <b/>
        <vertAlign val="subscript"/>
        <sz val="11"/>
        <color theme="1"/>
        <rFont val="Calibri"/>
        <family val="2"/>
        <scheme val="minor"/>
      </rPr>
      <t>2</t>
    </r>
    <r>
      <rPr>
        <b/>
        <sz val="11"/>
        <color theme="1"/>
        <rFont val="Calibri"/>
        <family val="2"/>
        <scheme val="minor"/>
      </rPr>
      <t>O</t>
    </r>
  </si>
  <si>
    <t>Air</t>
  </si>
  <si>
    <t>K-101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</si>
</sst>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vertAlign val="subscript"/>
      <sz val="11"/>
      <color theme="1"/>
      <name val="Calibri"/>
      <family val="2"/>
      <scheme val="minor"/>
    </font>
    <font>
      <b/>
      <vertAlign val="subscript"/>
      <sz val="11"/>
      <color theme="1"/>
      <name val="Calibri"/>
      <family val="2"/>
      <scheme val="minor"/>
    </font>
    <font>
      <sz val="11"/>
      <color rgb="FF0070C0"/>
      <name val="Calibri"/>
      <family val="2"/>
      <scheme val="minor"/>
    </font>
    <font>
      <sz val="11"/>
      <color rgb="FF00B05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left"/>
    </xf>
    <xf numFmtId="0" fontId="0" fillId="0" borderId="1" xfId="0" applyBorder="1" applyAlignment="1">
      <alignment horizontal="center"/>
    </xf>
    <xf numFmtId="2" fontId="0" fillId="0" borderId="1" xfId="0" applyNumberForma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0" xfId="0" applyFont="1"/>
    <xf numFmtId="0" fontId="1" fillId="0" borderId="2" xfId="0" applyFont="1" applyFill="1" applyBorder="1" applyAlignment="1">
      <alignment horizontal="center"/>
    </xf>
    <xf numFmtId="0" fontId="1" fillId="0" borderId="1" xfId="0" applyFont="1" applyFill="1" applyBorder="1" applyAlignment="1">
      <alignment horizontal="center"/>
    </xf>
    <xf numFmtId="2" fontId="0" fillId="0" borderId="0" xfId="0" applyNumberFormat="1"/>
    <xf numFmtId="11" fontId="0" fillId="0" borderId="0" xfId="0" applyNumberFormat="1"/>
    <xf numFmtId="0" fontId="1" fillId="0" borderId="3" xfId="0" applyFont="1" applyBorder="1" applyAlignment="1">
      <alignment horizontal="center"/>
    </xf>
    <xf numFmtId="2" fontId="1" fillId="0" borderId="3" xfId="0" applyNumberFormat="1" applyFont="1" applyBorder="1" applyAlignment="1">
      <alignment horizontal="center"/>
    </xf>
    <xf numFmtId="0" fontId="5" fillId="0" borderId="0" xfId="0" applyFont="1" applyBorder="1" applyAlignment="1">
      <alignment vertical="center" wrapText="1"/>
    </xf>
    <xf numFmtId="164" fontId="1" fillId="0" borderId="1" xfId="0" applyNumberFormat="1" applyFont="1" applyBorder="1" applyAlignment="1">
      <alignment horizontal="center"/>
    </xf>
    <xf numFmtId="0" fontId="4" fillId="0" borderId="0" xfId="0" applyFont="1" applyBorder="1" applyAlignment="1">
      <alignment horizontal="center" vertic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"/>
  <sheetViews>
    <sheetView zoomScale="145" zoomScaleNormal="145" workbookViewId="0">
      <selection activeCell="I5" sqref="I5"/>
    </sheetView>
  </sheetViews>
  <sheetFormatPr defaultColWidth="9" defaultRowHeight="15" x14ac:dyDescent="0.25"/>
  <cols>
    <col min="1" max="1" width="16.42578125" style="1" bestFit="1" customWidth="1"/>
    <col min="2" max="2" width="11.85546875" style="1" bestFit="1" customWidth="1"/>
    <col min="3" max="3" width="11.140625" style="1" bestFit="1" customWidth="1"/>
    <col min="4" max="4" width="16" style="1" bestFit="1" customWidth="1"/>
    <col min="5" max="5" width="12" style="1" bestFit="1" customWidth="1"/>
    <col min="6" max="16384" width="9" style="1"/>
  </cols>
  <sheetData>
    <row r="1" spans="1:7" ht="18" x14ac:dyDescent="0.35">
      <c r="A1" s="2" t="s">
        <v>20</v>
      </c>
    </row>
    <row r="2" spans="1:7" x14ac:dyDescent="0.25">
      <c r="A2" s="2"/>
    </row>
    <row r="3" spans="1:7" ht="18" x14ac:dyDescent="0.35">
      <c r="A3" s="6" t="s">
        <v>28</v>
      </c>
      <c r="B3" s="6" t="s">
        <v>0</v>
      </c>
      <c r="C3" s="6" t="s">
        <v>1</v>
      </c>
      <c r="D3" s="6" t="s">
        <v>2</v>
      </c>
      <c r="E3" s="6" t="s">
        <v>21</v>
      </c>
    </row>
    <row r="4" spans="1:7" ht="18" x14ac:dyDescent="0.35">
      <c r="A4" s="3" t="s">
        <v>36</v>
      </c>
      <c r="B4" s="3" t="s">
        <v>36</v>
      </c>
      <c r="C4" s="3" t="s">
        <v>25</v>
      </c>
      <c r="D4" s="4">
        <v>236984.36388300601</v>
      </c>
      <c r="E4" s="5">
        <f>D4/$D$7</f>
        <v>6.297816138538221</v>
      </c>
    </row>
    <row r="5" spans="1:7" ht="18" x14ac:dyDescent="0.35">
      <c r="A5" s="3" t="s">
        <v>23</v>
      </c>
      <c r="B5" s="3" t="s">
        <v>4</v>
      </c>
      <c r="C5" s="3" t="s">
        <v>25</v>
      </c>
      <c r="D5" s="4">
        <v>29376.751184463501</v>
      </c>
      <c r="E5" s="5">
        <f>D5/$D$7</f>
        <v>0.78068179130447235</v>
      </c>
    </row>
    <row r="6" spans="1:7" x14ac:dyDescent="0.25">
      <c r="A6" s="3" t="s">
        <v>3</v>
      </c>
      <c r="B6" s="3" t="s">
        <v>3</v>
      </c>
      <c r="C6" s="3" t="s">
        <v>26</v>
      </c>
      <c r="D6" s="4">
        <v>46946.620009600898</v>
      </c>
      <c r="E6" s="5">
        <f>D6/$D$7</f>
        <v>1.2475978427515471</v>
      </c>
      <c r="F6" s="1">
        <f>D6/1000</f>
        <v>46.946620009600899</v>
      </c>
      <c r="G6" s="1">
        <f>F6/D7</f>
        <v>1.247597842751547E-3</v>
      </c>
    </row>
    <row r="7" spans="1:7" ht="18" x14ac:dyDescent="0.35">
      <c r="A7" s="3" t="s">
        <v>22</v>
      </c>
      <c r="B7" s="3" t="s">
        <v>24</v>
      </c>
      <c r="C7" s="3" t="s">
        <v>27</v>
      </c>
      <c r="D7" s="4">
        <f>37628.7744244376+0.835375192426358</f>
        <v>37629.60979963003</v>
      </c>
      <c r="E7" s="5">
        <f>D7/$D$7</f>
        <v>1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F13"/>
  <sheetViews>
    <sheetView zoomScale="160" zoomScaleNormal="160" workbookViewId="0">
      <selection activeCell="C5" sqref="C5"/>
    </sheetView>
  </sheetViews>
  <sheetFormatPr defaultRowHeight="15" x14ac:dyDescent="0.25"/>
  <cols>
    <col min="1" max="1" width="9.5703125" style="1" bestFit="1" customWidth="1"/>
    <col min="2" max="2" width="15.7109375" style="1" bestFit="1" customWidth="1"/>
    <col min="3" max="3" width="11.7109375" style="1" bestFit="1" customWidth="1"/>
    <col min="4" max="4" width="11.42578125" style="1" bestFit="1" customWidth="1"/>
    <col min="6" max="6" width="10.140625" bestFit="1" customWidth="1"/>
    <col min="7" max="7" width="11.140625" bestFit="1" customWidth="1"/>
  </cols>
  <sheetData>
    <row r="2" spans="1:6" ht="18" x14ac:dyDescent="0.35">
      <c r="A2" s="6" t="s">
        <v>6</v>
      </c>
      <c r="B2" s="6" t="s">
        <v>1</v>
      </c>
      <c r="C2" s="6" t="s">
        <v>5</v>
      </c>
      <c r="D2" s="6" t="s">
        <v>34</v>
      </c>
    </row>
    <row r="3" spans="1:6" x14ac:dyDescent="0.25">
      <c r="A3" s="3" t="s">
        <v>8</v>
      </c>
      <c r="B3" s="3" t="s">
        <v>7</v>
      </c>
      <c r="C3" s="4">
        <v>12386.3091092211</v>
      </c>
      <c r="D3" s="5">
        <f>C3/'Material streams'!$D$7</f>
        <v>0.32916389978997018</v>
      </c>
      <c r="E3" s="16"/>
      <c r="F3" s="16"/>
    </row>
    <row r="4" spans="1:6" x14ac:dyDescent="0.25">
      <c r="A4" s="3" t="s">
        <v>37</v>
      </c>
      <c r="B4" s="3" t="s">
        <v>7</v>
      </c>
      <c r="C4" s="4">
        <v>4569.74122328467</v>
      </c>
      <c r="D4" s="5">
        <f>C4/'Material streams'!$D$7</f>
        <v>0.12144003744970003</v>
      </c>
      <c r="E4" s="16"/>
      <c r="F4" s="16"/>
    </row>
    <row r="5" spans="1:6" ht="14.25" customHeight="1" x14ac:dyDescent="0.25">
      <c r="A5" s="3"/>
      <c r="B5" s="12" t="s">
        <v>9</v>
      </c>
      <c r="C5" s="13">
        <f>SUM(C3:C3)</f>
        <v>12386.3091092211</v>
      </c>
      <c r="D5" s="15">
        <f>SUM(D3:D3)</f>
        <v>0.32916389978997018</v>
      </c>
      <c r="E5" s="14"/>
      <c r="F5" s="14"/>
    </row>
    <row r="13" spans="1:6" ht="14.25" customHeight="1" x14ac:dyDescent="0.25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5"/>
  <sheetViews>
    <sheetView tabSelected="1" zoomScale="145" zoomScaleNormal="145" workbookViewId="0">
      <selection activeCell="G4" sqref="G4"/>
    </sheetView>
  </sheetViews>
  <sheetFormatPr defaultRowHeight="15" x14ac:dyDescent="0.25"/>
  <cols>
    <col min="1" max="1" width="26" customWidth="1"/>
    <col min="2" max="2" width="16.140625" bestFit="1" customWidth="1"/>
    <col min="3" max="3" width="22" bestFit="1" customWidth="1"/>
    <col min="4" max="4" width="17.85546875" bestFit="1" customWidth="1"/>
    <col min="5" max="5" width="6.85546875" bestFit="1" customWidth="1"/>
    <col min="6" max="6" width="4.7109375" bestFit="1" customWidth="1"/>
    <col min="7" max="7" width="5.28515625" bestFit="1" customWidth="1"/>
    <col min="8" max="8" width="12.140625" bestFit="1" customWidth="1"/>
    <col min="11" max="11" width="13" bestFit="1" customWidth="1"/>
  </cols>
  <sheetData>
    <row r="1" spans="1:8" ht="18" x14ac:dyDescent="0.35">
      <c r="A1" s="6" t="s">
        <v>10</v>
      </c>
      <c r="B1" s="6" t="s">
        <v>11</v>
      </c>
      <c r="C1" s="6" t="s">
        <v>33</v>
      </c>
      <c r="D1" s="8" t="s">
        <v>35</v>
      </c>
    </row>
    <row r="2" spans="1:8" x14ac:dyDescent="0.25">
      <c r="A2" s="3" t="s">
        <v>29</v>
      </c>
      <c r="B2" s="4">
        <v>0</v>
      </c>
      <c r="C2" s="4">
        <v>0</v>
      </c>
      <c r="D2" s="4">
        <f>C2/'Material streams'!$D$7</f>
        <v>0</v>
      </c>
      <c r="H2" s="10"/>
    </row>
    <row r="3" spans="1:8" x14ac:dyDescent="0.25">
      <c r="A3" s="3" t="s">
        <v>19</v>
      </c>
      <c r="B3" s="4">
        <v>279040181.52576703</v>
      </c>
      <c r="C3" s="4">
        <f>B3/D11/G11</f>
        <v>13341629.52549687</v>
      </c>
      <c r="D3" s="4">
        <f>C3/'Material streams'!$D$7</f>
        <v>354.55136517594298</v>
      </c>
      <c r="E3" s="17">
        <f>B3/10^3/'Material streams'!D7</f>
        <v>7.415441802654847</v>
      </c>
    </row>
    <row r="4" spans="1:8" x14ac:dyDescent="0.25">
      <c r="A4" s="3" t="s">
        <v>30</v>
      </c>
      <c r="B4" s="4">
        <v>0</v>
      </c>
      <c r="C4" s="4">
        <f>B4/D12/G12</f>
        <v>0</v>
      </c>
      <c r="D4" s="4">
        <f>C4/'Material streams'!$D$7</f>
        <v>0</v>
      </c>
      <c r="H4" s="10"/>
    </row>
    <row r="5" spans="1:8" x14ac:dyDescent="0.25">
      <c r="A5" s="3" t="s">
        <v>31</v>
      </c>
      <c r="B5" s="4">
        <v>369025809.65970999</v>
      </c>
      <c r="C5" s="4">
        <f>B5/D13/G13</f>
        <v>186244.98317336731</v>
      </c>
      <c r="D5" s="4">
        <f>C5/'Material streams'!$D$7</f>
        <v>4.9494263736744468</v>
      </c>
      <c r="H5" s="10"/>
    </row>
    <row r="8" spans="1:8" x14ac:dyDescent="0.25">
      <c r="A8" s="7" t="s">
        <v>32</v>
      </c>
    </row>
    <row r="9" spans="1:8" ht="18" x14ac:dyDescent="0.35">
      <c r="A9" s="6" t="s">
        <v>10</v>
      </c>
      <c r="B9" s="6" t="s">
        <v>12</v>
      </c>
      <c r="C9" s="6" t="s">
        <v>13</v>
      </c>
      <c r="D9" s="6" t="s">
        <v>14</v>
      </c>
      <c r="E9" s="9" t="s">
        <v>16</v>
      </c>
      <c r="F9" s="9" t="s">
        <v>17</v>
      </c>
      <c r="G9" s="9" t="s">
        <v>15</v>
      </c>
    </row>
    <row r="10" spans="1:8" x14ac:dyDescent="0.25">
      <c r="A10" s="3" t="s">
        <v>29</v>
      </c>
      <c r="B10" s="4">
        <v>0</v>
      </c>
      <c r="C10" s="4">
        <v>0</v>
      </c>
      <c r="D10" s="3">
        <v>1703.1</v>
      </c>
      <c r="E10" s="3">
        <v>249</v>
      </c>
      <c r="F10" s="3">
        <v>250</v>
      </c>
      <c r="G10" s="3">
        <f>F10-E10</f>
        <v>1</v>
      </c>
    </row>
    <row r="11" spans="1:8" x14ac:dyDescent="0.25">
      <c r="A11" s="3" t="s">
        <v>19</v>
      </c>
      <c r="B11" s="4">
        <v>318203424.93796301</v>
      </c>
      <c r="C11" s="4">
        <v>15214125.026916699</v>
      </c>
      <c r="D11" s="4">
        <v>4.1829999999999998</v>
      </c>
      <c r="E11" s="3">
        <v>15</v>
      </c>
      <c r="F11" s="3">
        <v>20</v>
      </c>
      <c r="G11" s="3">
        <f>F11-E11</f>
        <v>5</v>
      </c>
    </row>
    <row r="12" spans="1:8" x14ac:dyDescent="0.25">
      <c r="A12" s="3" t="s">
        <v>30</v>
      </c>
      <c r="B12" s="4">
        <v>0</v>
      </c>
      <c r="C12" s="4">
        <v>0</v>
      </c>
      <c r="D12" s="3">
        <v>2196.4</v>
      </c>
      <c r="E12" s="3">
        <v>124</v>
      </c>
      <c r="F12" s="3">
        <v>125</v>
      </c>
      <c r="G12" s="3">
        <f>F12-E12</f>
        <v>1</v>
      </c>
    </row>
    <row r="13" spans="1:8" x14ac:dyDescent="0.25">
      <c r="A13" s="3" t="s">
        <v>31</v>
      </c>
      <c r="B13" s="3">
        <v>442503827.40741903</v>
      </c>
      <c r="C13" s="3">
        <v>223328.872215312</v>
      </c>
      <c r="D13" s="3">
        <v>1981.4</v>
      </c>
      <c r="E13" s="3">
        <v>174</v>
      </c>
      <c r="F13" s="3">
        <v>175</v>
      </c>
      <c r="G13" s="3">
        <f>F13-E13</f>
        <v>1</v>
      </c>
    </row>
    <row r="15" spans="1:8" x14ac:dyDescent="0.25">
      <c r="E15" s="11"/>
    </row>
    <row r="16" spans="1:8" x14ac:dyDescent="0.25">
      <c r="A16" t="s">
        <v>18</v>
      </c>
      <c r="E16" s="11"/>
    </row>
    <row r="17" spans="4:5" x14ac:dyDescent="0.25">
      <c r="E17" s="11"/>
    </row>
    <row r="18" spans="4:5" x14ac:dyDescent="0.25">
      <c r="D18" s="11"/>
      <c r="E18" s="11"/>
    </row>
    <row r="19" spans="4:5" x14ac:dyDescent="0.25">
      <c r="E19" s="11"/>
    </row>
    <row r="20" spans="4:5" x14ac:dyDescent="0.25">
      <c r="D20" s="11"/>
      <c r="E20" s="11"/>
    </row>
    <row r="21" spans="4:5" x14ac:dyDescent="0.25">
      <c r="E21" s="11"/>
    </row>
    <row r="22" spans="4:5" x14ac:dyDescent="0.25">
      <c r="E22" s="11"/>
    </row>
    <row r="23" spans="4:5" x14ac:dyDescent="0.25">
      <c r="E23" s="11"/>
    </row>
    <row r="24" spans="4:5" x14ac:dyDescent="0.25">
      <c r="E24" s="11"/>
    </row>
    <row r="25" spans="4:5" x14ac:dyDescent="0.25">
      <c r="D25" s="11"/>
      <c r="E25" s="11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Material streams</vt:lpstr>
      <vt:lpstr>Electricity</vt:lpstr>
      <vt:lpstr>Utilities</vt:lpstr>
    </vt:vector>
  </TitlesOfParts>
  <Company>ETH Zuerich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Nabera  Abhinandan</dc:creator>
  <cp:lastModifiedBy>Nabera  Abhinandan</cp:lastModifiedBy>
  <dcterms:created xsi:type="dcterms:W3CDTF">2020-04-23T14:14:32Z</dcterms:created>
  <dcterms:modified xsi:type="dcterms:W3CDTF">2023-11-28T10:23:01Z</dcterms:modified>
</cp:coreProperties>
</file>