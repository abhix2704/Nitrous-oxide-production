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BAU process\Actual\v2.0\With pollution\"/>
    </mc:Choice>
  </mc:AlternateContent>
  <xr:revisionPtr revIDLastSave="0" documentId="13_ncr:1_{BF33EF96-BDB0-4E6F-B24E-3FC0229CB37B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D13" i="1" l="1"/>
  <c r="D5" i="1"/>
  <c r="D4" i="1"/>
  <c r="D3" i="2" l="1"/>
  <c r="E3" i="3"/>
  <c r="D8" i="2"/>
  <c r="D7" i="2"/>
  <c r="J7" i="1"/>
  <c r="J6" i="1"/>
  <c r="E12" i="1" l="1"/>
  <c r="E11" i="1"/>
  <c r="E10" i="1" l="1"/>
  <c r="E9" i="1"/>
  <c r="E8" i="1"/>
  <c r="F8" i="1" l="1"/>
  <c r="D9" i="2"/>
  <c r="D6" i="2"/>
  <c r="D5" i="2"/>
  <c r="D4" i="2"/>
  <c r="E7" i="1"/>
  <c r="D10" i="2" l="1"/>
  <c r="E6" i="1"/>
  <c r="F7" i="1" s="1"/>
  <c r="G7" i="1" s="1"/>
  <c r="E5" i="1"/>
  <c r="E4" i="1"/>
  <c r="E13" i="1"/>
  <c r="G13" i="3" l="1"/>
  <c r="C5" i="3" s="1"/>
  <c r="D5" i="3" s="1"/>
  <c r="G12" i="3"/>
  <c r="C4" i="3" s="1"/>
  <c r="D4" i="3" s="1"/>
  <c r="G11" i="3"/>
  <c r="C3" i="3" s="1"/>
  <c r="D3" i="3" s="1"/>
  <c r="G10" i="3"/>
  <c r="C2" i="3" s="1"/>
  <c r="D2" i="3" s="1"/>
</calcChain>
</file>

<file path=xl/sharedStrings.xml><?xml version="1.0" encoding="utf-8"?>
<sst xmlns="http://schemas.openxmlformats.org/spreadsheetml/2006/main" count="81" uniqueCount="52">
  <si>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</si>
  <si>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</si>
  <si>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</si>
  <si>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</si>
  <si>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</si>
  <si>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</si>
  <si>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</si>
  <si>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</si>
  <si>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</si>
  <si>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</si>
  <si>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</si>
  <si>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</si>
  <si>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Target Load (kJ/h)</t>
  </si>
  <si>
    <t>Target Flow Rate (kg/h)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</si>
  <si>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</si>
  <si>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</si>
  <si>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</si>
  <si>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</si>
  <si>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</si>
  <si>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</si>
  <si>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</si>
  <si>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</si>
  <si>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</si>
  <si>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</si>
  <si>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</si>
  <si>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</si>
  <si>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</si>
  <si>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</si>
  <si>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</si>
  <si>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</si>
  <si>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LP steam generation</t>
  </si>
  <si>
    <t>MP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</si>
  <si>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</si>
  <si>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</si>
  <si>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</si>
  <si>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</si>
  <si>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P-100</t>
  </si>
  <si>
    <t>Pump</t>
  </si>
  <si>
    <t>Purge gas</t>
  </si>
  <si>
    <t>Nitrogen dioxide</t>
  </si>
  <si>
    <t>Nitrogen monoxide</t>
  </si>
  <si>
    <t>Nitric acid</t>
  </si>
  <si>
    <t>kg per kg ammonium nitrate emissions</t>
  </si>
  <si>
    <t>Purge gas 2</t>
  </si>
  <si>
    <t>*From a report</t>
  </si>
  <si>
    <t>mol per mol ammonium nitrate</t>
  </si>
  <si>
    <t>Air</t>
  </si>
  <si>
    <t>K-101</t>
  </si>
  <si>
    <t>K-102</t>
  </si>
  <si>
    <t>K-103</t>
  </si>
  <si>
    <t>K-104</t>
  </si>
  <si>
    <t>K-105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</si>
</sst>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zoomScale="115" zoomScaleNormal="115" workbookViewId="0">
      <selection activeCell="I11" sqref="I11"/>
    </sheetView>
  </sheetViews>
  <sheetFormatPr defaultColWidth="9" defaultRowHeight="15" x14ac:dyDescent="0.25"/>
  <cols>
    <col min="1" max="1" width="16.42578125" style="1" bestFit="1" customWidth="1"/>
    <col min="2" max="2" width="16.710937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6" width="9" style="1"/>
    <col min="7" max="7" width="11" style="1" bestFit="1" customWidth="1"/>
    <col min="8" max="8" width="9.28515625" style="1" bestFit="1" customWidth="1"/>
    <col min="9" max="9" width="34.28515625" style="1" bestFit="1" customWidth="1"/>
    <col min="10" max="10" width="27.85546875" style="1" bestFit="1" customWidth="1"/>
    <col min="11" max="16384" width="9" style="1"/>
  </cols>
  <sheetData>
    <row r="1" spans="1:14" ht="18" x14ac:dyDescent="0.35">
      <c r="A1" s="2" t="s">
        <v>20</v>
      </c>
    </row>
    <row r="2" spans="1:14" x14ac:dyDescent="0.25">
      <c r="A2" s="2"/>
    </row>
    <row r="3" spans="1:14" ht="18" x14ac:dyDescent="0.35">
      <c r="A3" s="6" t="s">
        <v>28</v>
      </c>
      <c r="B3" s="6" t="s">
        <v>0</v>
      </c>
      <c r="C3" s="6" t="s">
        <v>1</v>
      </c>
      <c r="D3" s="6" t="s">
        <v>2</v>
      </c>
      <c r="E3" s="6" t="s">
        <v>21</v>
      </c>
    </row>
    <row r="4" spans="1:14" ht="18" customHeight="1" x14ac:dyDescent="0.25">
      <c r="A4" s="3" t="s">
        <v>46</v>
      </c>
      <c r="B4" s="3" t="s">
        <v>46</v>
      </c>
      <c r="C4" s="3" t="s">
        <v>25</v>
      </c>
      <c r="D4" s="4">
        <f>177122.915523556+94920.4887516874</f>
        <v>272043.4042752434</v>
      </c>
      <c r="E4" s="29">
        <f t="shared" ref="E4:E10" si="0">D4/$D$13</f>
        <v>7.2544694886437089</v>
      </c>
      <c r="H4" s="26" t="s">
        <v>44</v>
      </c>
      <c r="I4" s="27"/>
      <c r="J4" s="28"/>
    </row>
    <row r="5" spans="1:14" ht="18" x14ac:dyDescent="0.35">
      <c r="A5" s="3" t="s">
        <v>23</v>
      </c>
      <c r="B5" s="3" t="s">
        <v>4</v>
      </c>
      <c r="C5" s="3" t="s">
        <v>25</v>
      </c>
      <c r="D5" s="4">
        <f>17565.0265983176+16589.1397455101</f>
        <v>34154.166343827703</v>
      </c>
      <c r="E5" s="29">
        <f t="shared" si="0"/>
        <v>0.91077509602355622</v>
      </c>
      <c r="H5" s="18"/>
      <c r="I5" s="19" t="s">
        <v>42</v>
      </c>
      <c r="J5" s="19" t="s">
        <v>45</v>
      </c>
    </row>
    <row r="6" spans="1:14" x14ac:dyDescent="0.25">
      <c r="A6" s="3" t="s">
        <v>3</v>
      </c>
      <c r="B6" s="3" t="s">
        <v>3</v>
      </c>
      <c r="C6" s="3" t="s">
        <v>25</v>
      </c>
      <c r="D6" s="4">
        <v>16464.353557154402</v>
      </c>
      <c r="E6" s="29">
        <f t="shared" si="0"/>
        <v>0.43904813957472028</v>
      </c>
      <c r="H6" s="18" t="s">
        <v>4</v>
      </c>
      <c r="I6" s="20">
        <v>9.2149999999999992E-3</v>
      </c>
      <c r="J6" s="20">
        <f>I6/17*80</f>
        <v>4.3364705882352944E-2</v>
      </c>
    </row>
    <row r="7" spans="1:14" x14ac:dyDescent="0.25">
      <c r="A7" s="3" t="s">
        <v>3</v>
      </c>
      <c r="B7" s="3" t="s">
        <v>3</v>
      </c>
      <c r="C7" s="3" t="s">
        <v>26</v>
      </c>
      <c r="D7" s="4">
        <v>62153.060908863299</v>
      </c>
      <c r="E7" s="29">
        <f t="shared" si="0"/>
        <v>1.6574100930341678</v>
      </c>
      <c r="F7" s="23">
        <f>E7-E6</f>
        <v>1.2183619534594474</v>
      </c>
      <c r="G7" s="1">
        <f>F7/1000</f>
        <v>1.2183619534594475E-3</v>
      </c>
      <c r="H7" s="18" t="s">
        <v>41</v>
      </c>
      <c r="I7" s="20">
        <v>5.2099999999999998E-4</v>
      </c>
      <c r="J7" s="20">
        <f>I7/63*80</f>
        <v>6.6158730158730162E-4</v>
      </c>
    </row>
    <row r="8" spans="1:14" x14ac:dyDescent="0.25">
      <c r="A8" s="3" t="s">
        <v>38</v>
      </c>
      <c r="B8" s="3" t="s">
        <v>39</v>
      </c>
      <c r="C8" s="3" t="s">
        <v>26</v>
      </c>
      <c r="D8" s="4">
        <v>1758.5099674681701</v>
      </c>
      <c r="E8" s="29">
        <f t="shared" si="0"/>
        <v>4.6893461499131095E-2</v>
      </c>
      <c r="F8" s="23">
        <f>E8+E9</f>
        <v>6.1080972925959376E-2</v>
      </c>
    </row>
    <row r="9" spans="1:14" x14ac:dyDescent="0.25">
      <c r="A9" s="3" t="s">
        <v>38</v>
      </c>
      <c r="B9" s="3" t="s">
        <v>40</v>
      </c>
      <c r="C9" s="3" t="s">
        <v>26</v>
      </c>
      <c r="D9" s="4">
        <v>532.03324003088096</v>
      </c>
      <c r="E9" s="29">
        <f t="shared" si="0"/>
        <v>1.4187511426828279E-2</v>
      </c>
      <c r="H9" s="21"/>
      <c r="I9" s="21"/>
      <c r="J9" s="21"/>
      <c r="K9" s="21"/>
      <c r="L9" s="21"/>
      <c r="M9" s="21"/>
      <c r="N9" s="21"/>
    </row>
    <row r="10" spans="1:14" x14ac:dyDescent="0.25">
      <c r="A10" s="3" t="s">
        <v>38</v>
      </c>
      <c r="B10" s="3" t="s">
        <v>24</v>
      </c>
      <c r="C10" s="3" t="s">
        <v>26</v>
      </c>
      <c r="D10" s="4">
        <v>344.47355770151898</v>
      </c>
      <c r="E10" s="29">
        <f t="shared" si="0"/>
        <v>9.1859345777846897E-3</v>
      </c>
      <c r="H10" s="21"/>
      <c r="I10" s="21"/>
      <c r="J10" s="21"/>
      <c r="K10" s="21"/>
      <c r="L10" s="21"/>
      <c r="M10" s="21"/>
      <c r="N10" s="21"/>
    </row>
    <row r="11" spans="1:14" x14ac:dyDescent="0.25">
      <c r="A11" s="3" t="s">
        <v>43</v>
      </c>
      <c r="B11" s="3" t="s">
        <v>4</v>
      </c>
      <c r="C11" s="3" t="s">
        <v>26</v>
      </c>
      <c r="D11" s="25">
        <v>689.48389772803796</v>
      </c>
      <c r="E11" s="29">
        <f t="shared" ref="E11:E12" si="1">D11/$D$13</f>
        <v>1.8386183308890355E-2</v>
      </c>
      <c r="H11" s="21"/>
      <c r="I11" s="21"/>
      <c r="J11" s="21"/>
      <c r="K11" s="21"/>
      <c r="L11" s="21"/>
      <c r="M11" s="21"/>
      <c r="N11" s="21"/>
    </row>
    <row r="12" spans="1:14" x14ac:dyDescent="0.25">
      <c r="A12" s="3" t="s">
        <v>43</v>
      </c>
      <c r="B12" s="3" t="s">
        <v>41</v>
      </c>
      <c r="C12" s="3" t="s">
        <v>26</v>
      </c>
      <c r="D12" s="25">
        <v>38.789395421213598</v>
      </c>
      <c r="E12" s="29">
        <f t="shared" si="1"/>
        <v>1.0343808419682307E-3</v>
      </c>
      <c r="H12" s="21"/>
      <c r="I12" s="21"/>
      <c r="J12" s="21"/>
      <c r="K12" s="21"/>
      <c r="L12" s="21"/>
      <c r="M12" s="21"/>
      <c r="N12" s="22"/>
    </row>
    <row r="13" spans="1:14" ht="18" x14ac:dyDescent="0.35">
      <c r="A13" s="3" t="s">
        <v>22</v>
      </c>
      <c r="B13" s="3" t="s">
        <v>24</v>
      </c>
      <c r="C13" s="3" t="s">
        <v>27</v>
      </c>
      <c r="D13" s="4">
        <f>37499.9996367881+0.11042654672145</f>
        <v>37500.110063334825</v>
      </c>
      <c r="E13" s="29">
        <f>D13/$D$13</f>
        <v>1</v>
      </c>
      <c r="H13" s="21"/>
      <c r="I13" s="21"/>
      <c r="J13" s="21"/>
      <c r="K13" s="21"/>
      <c r="L13" s="21"/>
      <c r="M13" s="21"/>
      <c r="N13" s="21"/>
    </row>
    <row r="14" spans="1:14" x14ac:dyDescent="0.25">
      <c r="H14" s="21"/>
      <c r="I14" s="21"/>
      <c r="J14" s="21"/>
      <c r="K14" s="21"/>
      <c r="L14" s="21"/>
      <c r="M14" s="21"/>
      <c r="N14" s="21"/>
    </row>
    <row r="15" spans="1:14" x14ac:dyDescent="0.25">
      <c r="H15" s="21"/>
      <c r="I15" s="21"/>
      <c r="J15" s="21"/>
      <c r="K15" s="21"/>
      <c r="L15" s="21"/>
      <c r="M15" s="21"/>
      <c r="N15" s="21"/>
    </row>
    <row r="16" spans="1:14" x14ac:dyDescent="0.25">
      <c r="H16" s="21"/>
      <c r="I16" s="21"/>
      <c r="J16" s="21"/>
      <c r="K16" s="21"/>
      <c r="L16" s="21"/>
      <c r="M16" s="21"/>
      <c r="N16" s="21"/>
    </row>
    <row r="17" spans="8:14" x14ac:dyDescent="0.25">
      <c r="H17" s="21"/>
      <c r="I17" s="21"/>
      <c r="J17" s="21"/>
      <c r="K17" s="21"/>
      <c r="L17" s="21"/>
      <c r="M17" s="21"/>
      <c r="N17" s="21"/>
    </row>
    <row r="18" spans="8:14" x14ac:dyDescent="0.25">
      <c r="H18" s="21"/>
      <c r="I18" s="21"/>
      <c r="J18" s="21"/>
      <c r="K18" s="21"/>
      <c r="L18" s="21"/>
      <c r="M18" s="21"/>
      <c r="N18" s="21"/>
    </row>
    <row r="19" spans="8:14" x14ac:dyDescent="0.25">
      <c r="H19" s="21"/>
      <c r="I19" s="21"/>
      <c r="J19" s="21"/>
      <c r="K19" s="21"/>
      <c r="L19" s="21"/>
      <c r="M19" s="21"/>
      <c r="N19" s="21"/>
    </row>
    <row r="20" spans="8:14" x14ac:dyDescent="0.25">
      <c r="H20" s="21"/>
      <c r="I20" s="21"/>
      <c r="J20" s="21"/>
      <c r="K20" s="21"/>
      <c r="L20" s="21"/>
      <c r="M20" s="21"/>
      <c r="N20" s="21"/>
    </row>
    <row r="21" spans="8:14" x14ac:dyDescent="0.25">
      <c r="H21" s="21"/>
      <c r="I21" s="21"/>
      <c r="J21" s="21"/>
      <c r="K21" s="21"/>
      <c r="L21" s="21"/>
      <c r="M21" s="21"/>
      <c r="N21" s="21"/>
    </row>
    <row r="22" spans="8:14" x14ac:dyDescent="0.25">
      <c r="H22" s="21"/>
      <c r="I22" s="21"/>
      <c r="J22" s="21"/>
      <c r="K22" s="21"/>
      <c r="L22" s="21"/>
      <c r="M22" s="21"/>
      <c r="N22" s="21"/>
    </row>
    <row r="23" spans="8:14" x14ac:dyDescent="0.25">
      <c r="H23" s="21"/>
      <c r="I23" s="21"/>
      <c r="J23" s="21"/>
      <c r="K23" s="21"/>
      <c r="L23" s="21"/>
      <c r="M23" s="21"/>
      <c r="N23" s="21"/>
    </row>
    <row r="24" spans="8:14" x14ac:dyDescent="0.25">
      <c r="H24" s="21"/>
      <c r="I24" s="21"/>
      <c r="J24" s="21"/>
      <c r="K24" s="21"/>
      <c r="L24" s="21"/>
      <c r="M24" s="21"/>
      <c r="N24" s="21"/>
    </row>
    <row r="25" spans="8:14" x14ac:dyDescent="0.25">
      <c r="H25" s="21"/>
      <c r="I25" s="21"/>
      <c r="J25" s="21"/>
      <c r="K25" s="21"/>
      <c r="L25" s="21"/>
      <c r="M25" s="21"/>
      <c r="N25" s="21"/>
    </row>
    <row r="26" spans="8:14" x14ac:dyDescent="0.25">
      <c r="H26" s="21"/>
      <c r="I26" s="21"/>
      <c r="J26" s="21"/>
      <c r="K26" s="21"/>
      <c r="L26" s="21"/>
      <c r="M26" s="21"/>
      <c r="N26" s="21"/>
    </row>
    <row r="27" spans="8:14" x14ac:dyDescent="0.25">
      <c r="H27" s="21"/>
      <c r="I27" s="21"/>
      <c r="J27" s="21"/>
      <c r="K27" s="21"/>
      <c r="L27" s="21"/>
      <c r="M27" s="21"/>
      <c r="N27" s="21"/>
    </row>
    <row r="28" spans="8:14" x14ac:dyDescent="0.25">
      <c r="H28" s="21"/>
      <c r="I28" s="21"/>
      <c r="J28" s="21"/>
      <c r="K28" s="21"/>
      <c r="L28" s="21"/>
      <c r="M28" s="21"/>
      <c r="N28" s="21"/>
    </row>
    <row r="29" spans="8:14" x14ac:dyDescent="0.25">
      <c r="H29" s="21"/>
      <c r="I29" s="21"/>
      <c r="J29" s="21"/>
      <c r="K29" s="21"/>
      <c r="L29" s="21"/>
      <c r="M29" s="21"/>
      <c r="N29" s="21"/>
    </row>
    <row r="30" spans="8:14" x14ac:dyDescent="0.25">
      <c r="H30" s="21"/>
      <c r="I30" s="21"/>
      <c r="J30" s="21"/>
      <c r="K30" s="21"/>
      <c r="L30" s="21"/>
      <c r="M30" s="21"/>
      <c r="N30" s="21"/>
    </row>
    <row r="31" spans="8:14" x14ac:dyDescent="0.25">
      <c r="H31" s="21"/>
      <c r="I31" s="21"/>
      <c r="J31" s="21"/>
      <c r="K31" s="21"/>
      <c r="L31" s="21"/>
      <c r="M31" s="21"/>
      <c r="N31" s="21"/>
    </row>
    <row r="32" spans="8:14" x14ac:dyDescent="0.25">
      <c r="H32" s="21"/>
      <c r="I32" s="21"/>
      <c r="J32" s="21"/>
      <c r="K32" s="21"/>
      <c r="L32" s="21"/>
      <c r="M32" s="21"/>
      <c r="N32" s="21"/>
    </row>
    <row r="33" spans="8:14" x14ac:dyDescent="0.25">
      <c r="H33" s="21"/>
      <c r="I33" s="21"/>
      <c r="J33" s="21"/>
      <c r="K33" s="21"/>
      <c r="L33" s="21"/>
      <c r="M33" s="21"/>
      <c r="N33" s="21"/>
    </row>
    <row r="34" spans="8:14" x14ac:dyDescent="0.25">
      <c r="H34" s="21"/>
      <c r="I34" s="21"/>
      <c r="J34" s="21"/>
      <c r="K34" s="21"/>
      <c r="L34" s="21"/>
      <c r="M34" s="21"/>
      <c r="N34" s="21"/>
    </row>
    <row r="35" spans="8:14" x14ac:dyDescent="0.25">
      <c r="H35" s="21"/>
      <c r="I35" s="21"/>
      <c r="J35" s="21"/>
      <c r="K35" s="21"/>
      <c r="L35" s="21"/>
      <c r="M35" s="21"/>
      <c r="N35" s="21"/>
    </row>
    <row r="36" spans="8:14" x14ac:dyDescent="0.25">
      <c r="H36" s="21"/>
      <c r="I36" s="21"/>
      <c r="J36" s="21"/>
      <c r="K36" s="21"/>
      <c r="L36" s="21"/>
      <c r="M36" s="21"/>
      <c r="N36" s="21"/>
    </row>
    <row r="37" spans="8:14" x14ac:dyDescent="0.25">
      <c r="H37" s="21"/>
      <c r="I37" s="21"/>
      <c r="J37" s="21"/>
      <c r="K37" s="21"/>
      <c r="L37" s="21"/>
      <c r="M37" s="21"/>
      <c r="N37" s="21"/>
    </row>
    <row r="38" spans="8:14" x14ac:dyDescent="0.25">
      <c r="H38" s="21"/>
      <c r="I38" s="21"/>
      <c r="J38" s="21"/>
      <c r="K38" s="21"/>
      <c r="L38" s="21"/>
      <c r="M38" s="21"/>
      <c r="N38" s="21"/>
    </row>
    <row r="39" spans="8:14" x14ac:dyDescent="0.25">
      <c r="H39" s="21"/>
      <c r="I39" s="21"/>
      <c r="J39" s="21"/>
      <c r="K39" s="21"/>
      <c r="L39" s="21"/>
      <c r="M39" s="21"/>
      <c r="N39" s="21"/>
    </row>
    <row r="40" spans="8:14" x14ac:dyDescent="0.25">
      <c r="H40" s="21"/>
      <c r="I40" s="21"/>
      <c r="J40" s="21"/>
      <c r="K40" s="21"/>
      <c r="L40" s="21"/>
      <c r="M40" s="21"/>
      <c r="N40" s="21"/>
    </row>
    <row r="41" spans="8:14" x14ac:dyDescent="0.25">
      <c r="H41" s="21"/>
      <c r="I41" s="21"/>
      <c r="J41" s="21"/>
      <c r="K41" s="21"/>
      <c r="L41" s="21"/>
      <c r="M41" s="21"/>
      <c r="N41" s="21"/>
    </row>
    <row r="42" spans="8:14" x14ac:dyDescent="0.25">
      <c r="H42" s="21"/>
      <c r="I42" s="21"/>
      <c r="J42" s="21"/>
      <c r="K42" s="21"/>
      <c r="L42" s="21"/>
      <c r="M42" s="21"/>
      <c r="N42" s="21"/>
    </row>
    <row r="43" spans="8:14" x14ac:dyDescent="0.25">
      <c r="H43" s="21"/>
      <c r="I43" s="21"/>
      <c r="J43" s="21"/>
      <c r="K43" s="21"/>
      <c r="L43" s="21"/>
      <c r="M43" s="21"/>
      <c r="N43" s="21"/>
    </row>
    <row r="44" spans="8:14" x14ac:dyDescent="0.25">
      <c r="H44" s="21"/>
      <c r="I44" s="21"/>
      <c r="J44" s="21"/>
      <c r="K44" s="21"/>
      <c r="L44" s="21"/>
      <c r="M44" s="21"/>
      <c r="N44" s="21"/>
    </row>
    <row r="45" spans="8:14" x14ac:dyDescent="0.25">
      <c r="H45" s="21"/>
      <c r="I45" s="21"/>
      <c r="J45" s="21"/>
      <c r="K45" s="21"/>
      <c r="L45" s="21"/>
      <c r="M45" s="21"/>
      <c r="N45" s="21"/>
    </row>
    <row r="46" spans="8:14" x14ac:dyDescent="0.25">
      <c r="H46" s="21"/>
      <c r="I46" s="21"/>
      <c r="J46" s="21"/>
      <c r="K46" s="21"/>
      <c r="L46" s="21"/>
      <c r="M46" s="21"/>
      <c r="N46" s="21"/>
    </row>
    <row r="47" spans="8:14" x14ac:dyDescent="0.25">
      <c r="H47" s="21"/>
      <c r="I47" s="21"/>
      <c r="J47" s="21"/>
      <c r="K47" s="21"/>
      <c r="L47" s="21"/>
      <c r="M47" s="21"/>
      <c r="N47" s="21"/>
    </row>
    <row r="48" spans="8:14" x14ac:dyDescent="0.25">
      <c r="H48" s="21"/>
      <c r="I48" s="21"/>
      <c r="J48" s="21"/>
      <c r="K48" s="21"/>
      <c r="L48" s="21"/>
      <c r="M48" s="21"/>
      <c r="N48" s="21"/>
    </row>
    <row r="49" spans="8:14" x14ac:dyDescent="0.25">
      <c r="H49" s="21"/>
      <c r="I49" s="21"/>
      <c r="J49" s="21"/>
      <c r="K49" s="21"/>
      <c r="L49" s="21"/>
      <c r="M49" s="21"/>
      <c r="N49" s="21"/>
    </row>
    <row r="50" spans="8:14" x14ac:dyDescent="0.25">
      <c r="H50" s="21"/>
      <c r="I50" s="21"/>
      <c r="J50" s="21"/>
      <c r="K50" s="21"/>
      <c r="L50" s="21"/>
      <c r="M50" s="21"/>
      <c r="N50" s="21"/>
    </row>
    <row r="51" spans="8:14" x14ac:dyDescent="0.25">
      <c r="H51" s="21"/>
      <c r="I51" s="21"/>
      <c r="J51" s="21"/>
      <c r="K51" s="21"/>
      <c r="L51" s="21"/>
      <c r="M51" s="21"/>
      <c r="N51" s="21"/>
    </row>
    <row r="52" spans="8:14" x14ac:dyDescent="0.25">
      <c r="H52" s="21"/>
      <c r="I52" s="21"/>
      <c r="J52" s="21"/>
      <c r="K52" s="21"/>
      <c r="L52" s="21"/>
      <c r="M52" s="21"/>
      <c r="N52" s="21"/>
    </row>
    <row r="53" spans="8:14" x14ac:dyDescent="0.25">
      <c r="H53" s="21"/>
      <c r="I53" s="21"/>
      <c r="J53" s="21"/>
      <c r="K53" s="21"/>
      <c r="L53" s="21"/>
      <c r="M53" s="21"/>
      <c r="N53" s="21"/>
    </row>
    <row r="54" spans="8:14" x14ac:dyDescent="0.25">
      <c r="H54" s="21"/>
      <c r="I54" s="21"/>
      <c r="J54" s="21"/>
      <c r="K54" s="21"/>
      <c r="L54" s="21"/>
      <c r="M54" s="21"/>
      <c r="N54" s="21"/>
    </row>
    <row r="55" spans="8:14" x14ac:dyDescent="0.25">
      <c r="H55" s="21"/>
      <c r="I55" s="21"/>
      <c r="J55" s="21"/>
      <c r="K55" s="21"/>
      <c r="L55" s="21"/>
      <c r="M55" s="21"/>
      <c r="N55" s="21"/>
    </row>
    <row r="56" spans="8:14" x14ac:dyDescent="0.25">
      <c r="H56" s="21"/>
      <c r="I56" s="21"/>
      <c r="J56" s="21"/>
      <c r="K56" s="21"/>
      <c r="L56" s="21"/>
      <c r="M56" s="21"/>
      <c r="N56" s="21"/>
    </row>
    <row r="57" spans="8:14" x14ac:dyDescent="0.25">
      <c r="H57" s="21"/>
      <c r="I57" s="21"/>
      <c r="J57" s="21"/>
      <c r="K57" s="21"/>
      <c r="L57" s="21"/>
      <c r="M57" s="21"/>
      <c r="N57" s="21"/>
    </row>
    <row r="58" spans="8:14" x14ac:dyDescent="0.25">
      <c r="H58" s="21"/>
      <c r="I58" s="21"/>
      <c r="J58" s="21"/>
      <c r="K58" s="21"/>
      <c r="L58" s="21"/>
      <c r="M58" s="21"/>
      <c r="N58" s="21"/>
    </row>
    <row r="59" spans="8:14" x14ac:dyDescent="0.25">
      <c r="H59" s="21"/>
      <c r="I59" s="21"/>
      <c r="J59" s="21"/>
      <c r="K59" s="21"/>
      <c r="L59" s="21"/>
      <c r="M59" s="21"/>
      <c r="N59" s="21"/>
    </row>
    <row r="60" spans="8:14" x14ac:dyDescent="0.25">
      <c r="H60" s="21"/>
      <c r="I60" s="21"/>
      <c r="J60" s="21"/>
      <c r="K60" s="21"/>
      <c r="L60" s="21"/>
      <c r="M60" s="21"/>
      <c r="N60" s="21"/>
    </row>
    <row r="61" spans="8:14" x14ac:dyDescent="0.25">
      <c r="H61" s="21"/>
      <c r="I61" s="21"/>
      <c r="J61" s="21"/>
      <c r="K61" s="21"/>
      <c r="L61" s="21"/>
      <c r="M61" s="21"/>
      <c r="N61" s="21"/>
    </row>
    <row r="62" spans="8:14" x14ac:dyDescent="0.25">
      <c r="H62" s="21"/>
      <c r="I62" s="21"/>
      <c r="J62" s="21"/>
      <c r="K62" s="21"/>
      <c r="L62" s="21"/>
      <c r="M62" s="21"/>
      <c r="N62" s="21"/>
    </row>
    <row r="63" spans="8:14" x14ac:dyDescent="0.25">
      <c r="H63" s="21"/>
      <c r="I63" s="21"/>
      <c r="J63" s="21"/>
      <c r="K63" s="21"/>
      <c r="L63" s="21"/>
      <c r="M63" s="21"/>
      <c r="N63" s="21"/>
    </row>
    <row r="64" spans="8:14" x14ac:dyDescent="0.25">
      <c r="H64" s="21"/>
      <c r="I64" s="21"/>
      <c r="J64" s="21"/>
      <c r="K64" s="21"/>
      <c r="L64" s="21"/>
      <c r="M64" s="21"/>
      <c r="N64" s="21"/>
    </row>
    <row r="65" spans="8:14" x14ac:dyDescent="0.25">
      <c r="H65" s="21"/>
      <c r="I65" s="21"/>
      <c r="J65" s="21"/>
      <c r="K65" s="21"/>
      <c r="L65" s="21"/>
      <c r="M65" s="21"/>
      <c r="N65" s="21"/>
    </row>
    <row r="66" spans="8:14" x14ac:dyDescent="0.25">
      <c r="H66" s="21"/>
      <c r="I66" s="21"/>
      <c r="J66" s="21"/>
      <c r="K66" s="21"/>
      <c r="L66" s="21"/>
      <c r="M66" s="21"/>
      <c r="N66" s="21"/>
    </row>
    <row r="67" spans="8:14" x14ac:dyDescent="0.25">
      <c r="H67" s="21"/>
      <c r="I67" s="21"/>
      <c r="J67" s="21"/>
      <c r="K67" s="21"/>
      <c r="L67" s="21"/>
      <c r="M67" s="21"/>
      <c r="N67" s="21"/>
    </row>
    <row r="68" spans="8:14" x14ac:dyDescent="0.25">
      <c r="H68" s="21"/>
      <c r="I68" s="21"/>
      <c r="J68" s="21"/>
      <c r="K68" s="21"/>
      <c r="L68" s="21"/>
      <c r="M68" s="21"/>
      <c r="N68" s="21"/>
    </row>
    <row r="69" spans="8:14" x14ac:dyDescent="0.25">
      <c r="H69" s="21"/>
      <c r="I69" s="21"/>
      <c r="J69" s="21"/>
      <c r="K69" s="21"/>
      <c r="L69" s="21"/>
      <c r="M69" s="21"/>
      <c r="N69" s="21"/>
    </row>
    <row r="70" spans="8:14" x14ac:dyDescent="0.25">
      <c r="H70" s="21"/>
      <c r="I70" s="21"/>
      <c r="J70" s="21"/>
      <c r="K70" s="21"/>
      <c r="L70" s="21"/>
      <c r="M70" s="21"/>
      <c r="N70" s="21"/>
    </row>
    <row r="71" spans="8:14" x14ac:dyDescent="0.25">
      <c r="H71" s="21"/>
      <c r="I71" s="21"/>
      <c r="J71" s="21"/>
      <c r="K71" s="21"/>
      <c r="L71" s="21"/>
      <c r="M71" s="21"/>
      <c r="N71" s="21"/>
    </row>
    <row r="72" spans="8:14" x14ac:dyDescent="0.25">
      <c r="H72" s="21"/>
      <c r="I72" s="21"/>
      <c r="J72" s="21"/>
      <c r="K72" s="21"/>
      <c r="L72" s="21"/>
      <c r="M72" s="21"/>
      <c r="N72" s="21"/>
    </row>
    <row r="73" spans="8:14" x14ac:dyDescent="0.25">
      <c r="H73" s="21"/>
      <c r="I73" s="21"/>
      <c r="J73" s="21"/>
      <c r="K73" s="21"/>
      <c r="L73" s="21"/>
      <c r="M73" s="21"/>
      <c r="N73" s="21"/>
    </row>
    <row r="74" spans="8:14" x14ac:dyDescent="0.25">
      <c r="H74" s="21"/>
      <c r="I74" s="21"/>
      <c r="J74" s="21"/>
      <c r="K74" s="21"/>
      <c r="L74" s="21"/>
      <c r="M74" s="21"/>
      <c r="N74" s="21"/>
    </row>
    <row r="75" spans="8:14" x14ac:dyDescent="0.25">
      <c r="H75" s="21"/>
      <c r="I75" s="21"/>
      <c r="J75" s="21"/>
      <c r="K75" s="21"/>
      <c r="L75" s="21"/>
      <c r="M75" s="21"/>
      <c r="N75" s="21"/>
    </row>
    <row r="76" spans="8:14" x14ac:dyDescent="0.25">
      <c r="H76" s="21"/>
      <c r="I76" s="21"/>
      <c r="J76" s="21"/>
      <c r="K76" s="21"/>
      <c r="L76" s="21"/>
      <c r="M76" s="21"/>
      <c r="N76" s="21"/>
    </row>
    <row r="77" spans="8:14" x14ac:dyDescent="0.25">
      <c r="H77" s="21"/>
      <c r="I77" s="21"/>
      <c r="J77" s="21"/>
      <c r="K77" s="21"/>
      <c r="L77" s="21"/>
      <c r="M77" s="21"/>
      <c r="N77" s="21"/>
    </row>
    <row r="78" spans="8:14" x14ac:dyDescent="0.25">
      <c r="H78" s="21"/>
      <c r="I78" s="21"/>
      <c r="J78" s="21"/>
      <c r="K78" s="21"/>
      <c r="L78" s="21"/>
      <c r="M78" s="21"/>
      <c r="N78" s="21"/>
    </row>
    <row r="79" spans="8:14" x14ac:dyDescent="0.25">
      <c r="H79" s="21"/>
      <c r="I79" s="21"/>
      <c r="J79" s="21"/>
      <c r="K79" s="21"/>
      <c r="L79" s="21"/>
      <c r="M79" s="21"/>
      <c r="N79" s="21"/>
    </row>
    <row r="80" spans="8:14" x14ac:dyDescent="0.25">
      <c r="H80" s="21"/>
      <c r="I80" s="21"/>
      <c r="J80" s="21"/>
      <c r="K80" s="21"/>
      <c r="L80" s="21"/>
      <c r="M80" s="21"/>
      <c r="N80" s="21"/>
    </row>
    <row r="81" spans="8:14" x14ac:dyDescent="0.25">
      <c r="H81" s="21"/>
      <c r="I81" s="21"/>
      <c r="J81" s="21"/>
      <c r="K81" s="21"/>
      <c r="L81" s="21"/>
      <c r="M81" s="21"/>
      <c r="N81" s="21"/>
    </row>
    <row r="82" spans="8:14" x14ac:dyDescent="0.25">
      <c r="H82" s="21"/>
      <c r="I82" s="21"/>
      <c r="J82" s="21"/>
      <c r="K82" s="21"/>
      <c r="L82" s="21"/>
      <c r="M82" s="21"/>
      <c r="N82" s="21"/>
    </row>
    <row r="83" spans="8:14" x14ac:dyDescent="0.25">
      <c r="H83" s="21"/>
      <c r="I83" s="21"/>
      <c r="J83" s="21"/>
      <c r="K83" s="21"/>
      <c r="L83" s="21"/>
      <c r="M83" s="21"/>
      <c r="N83" s="21"/>
    </row>
    <row r="84" spans="8:14" x14ac:dyDescent="0.25">
      <c r="H84" s="21"/>
      <c r="I84" s="21"/>
      <c r="J84" s="21"/>
      <c r="K84" s="21"/>
      <c r="L84" s="21"/>
      <c r="M84" s="21"/>
      <c r="N84" s="21"/>
    </row>
    <row r="85" spans="8:14" x14ac:dyDescent="0.25">
      <c r="H85" s="21"/>
      <c r="I85" s="21"/>
      <c r="J85" s="21"/>
      <c r="K85" s="21"/>
      <c r="L85" s="21"/>
      <c r="M85" s="21"/>
      <c r="N85" s="21"/>
    </row>
    <row r="86" spans="8:14" x14ac:dyDescent="0.25">
      <c r="H86" s="21"/>
      <c r="I86" s="21"/>
      <c r="J86" s="21"/>
      <c r="K86" s="21"/>
      <c r="L86" s="21"/>
      <c r="M86" s="21"/>
      <c r="N86" s="21"/>
    </row>
    <row r="87" spans="8:14" x14ac:dyDescent="0.25">
      <c r="H87" s="21"/>
      <c r="I87" s="21"/>
      <c r="J87" s="21"/>
      <c r="K87" s="21"/>
      <c r="L87" s="21"/>
      <c r="M87" s="21"/>
      <c r="N87" s="21"/>
    </row>
    <row r="88" spans="8:14" x14ac:dyDescent="0.25">
      <c r="H88" s="21"/>
      <c r="I88" s="21"/>
      <c r="J88" s="21"/>
      <c r="K88" s="21"/>
      <c r="L88" s="21"/>
      <c r="M88" s="21"/>
      <c r="N88" s="21"/>
    </row>
    <row r="89" spans="8:14" x14ac:dyDescent="0.25">
      <c r="H89" s="21"/>
      <c r="I89" s="21"/>
      <c r="J89" s="21"/>
      <c r="K89" s="21"/>
      <c r="L89" s="21"/>
      <c r="M89" s="21"/>
      <c r="N89" s="21"/>
    </row>
    <row r="90" spans="8:14" x14ac:dyDescent="0.25">
      <c r="H90" s="21"/>
      <c r="I90" s="21"/>
      <c r="J90" s="21"/>
      <c r="K90" s="21"/>
      <c r="L90" s="21"/>
      <c r="M90" s="21"/>
      <c r="N90" s="21"/>
    </row>
    <row r="91" spans="8:14" x14ac:dyDescent="0.25">
      <c r="H91" s="21"/>
      <c r="I91" s="21"/>
      <c r="J91" s="21"/>
      <c r="K91" s="21"/>
      <c r="L91" s="21"/>
      <c r="M91" s="21"/>
      <c r="N91" s="21"/>
    </row>
    <row r="92" spans="8:14" x14ac:dyDescent="0.25">
      <c r="H92" s="21"/>
      <c r="I92" s="21"/>
      <c r="J92" s="21"/>
      <c r="K92" s="21"/>
      <c r="L92" s="21"/>
      <c r="M92" s="21"/>
      <c r="N92" s="21"/>
    </row>
    <row r="93" spans="8:14" x14ac:dyDescent="0.25">
      <c r="H93" s="21"/>
      <c r="I93" s="21"/>
      <c r="J93" s="21"/>
      <c r="K93" s="21"/>
      <c r="L93" s="21"/>
      <c r="M93" s="21"/>
      <c r="N93" s="21"/>
    </row>
    <row r="94" spans="8:14" x14ac:dyDescent="0.25">
      <c r="H94" s="21"/>
      <c r="I94" s="21"/>
      <c r="J94" s="21"/>
      <c r="K94" s="21"/>
      <c r="L94" s="21"/>
      <c r="M94" s="21"/>
      <c r="N94" s="21"/>
    </row>
    <row r="95" spans="8:14" x14ac:dyDescent="0.25">
      <c r="H95" s="21"/>
      <c r="I95" s="21"/>
      <c r="J95" s="21"/>
      <c r="K95" s="21"/>
      <c r="L95" s="21"/>
      <c r="M95" s="21"/>
      <c r="N95" s="21"/>
    </row>
    <row r="96" spans="8:14" x14ac:dyDescent="0.25">
      <c r="H96" s="21"/>
      <c r="I96" s="21"/>
      <c r="J96" s="21"/>
      <c r="K96" s="21"/>
      <c r="L96" s="21"/>
      <c r="M96" s="21"/>
      <c r="N96" s="21"/>
    </row>
    <row r="97" spans="8:14" x14ac:dyDescent="0.25">
      <c r="H97" s="21"/>
      <c r="I97" s="21"/>
      <c r="J97" s="21"/>
      <c r="K97" s="21"/>
      <c r="L97" s="21"/>
      <c r="M97" s="21"/>
      <c r="N97" s="21"/>
    </row>
    <row r="98" spans="8:14" x14ac:dyDescent="0.25">
      <c r="H98" s="21"/>
      <c r="I98" s="21"/>
      <c r="J98" s="21"/>
      <c r="K98" s="21"/>
      <c r="L98" s="21"/>
      <c r="M98" s="21"/>
      <c r="N98" s="21"/>
    </row>
    <row r="99" spans="8:14" x14ac:dyDescent="0.25">
      <c r="H99" s="21"/>
      <c r="I99" s="21"/>
      <c r="J99" s="21"/>
      <c r="K99" s="21"/>
      <c r="L99" s="21"/>
      <c r="M99" s="21"/>
      <c r="N99" s="21"/>
    </row>
    <row r="100" spans="8:14" x14ac:dyDescent="0.25">
      <c r="H100" s="21"/>
      <c r="I100" s="21"/>
      <c r="J100" s="21"/>
      <c r="K100" s="21"/>
      <c r="L100" s="21"/>
      <c r="M100" s="21"/>
      <c r="N100" s="21"/>
    </row>
    <row r="101" spans="8:14" x14ac:dyDescent="0.25">
      <c r="H101" s="21"/>
      <c r="I101" s="21"/>
      <c r="J101" s="21"/>
      <c r="K101" s="21"/>
      <c r="L101" s="21"/>
      <c r="M101" s="21"/>
      <c r="N101" s="21"/>
    </row>
    <row r="102" spans="8:14" x14ac:dyDescent="0.25">
      <c r="H102" s="21"/>
      <c r="I102" s="21"/>
      <c r="J102" s="21"/>
      <c r="K102" s="21"/>
      <c r="L102" s="21"/>
      <c r="M102" s="21"/>
      <c r="N102" s="21"/>
    </row>
    <row r="103" spans="8:14" x14ac:dyDescent="0.25">
      <c r="H103" s="21"/>
      <c r="I103" s="21"/>
      <c r="J103" s="21"/>
      <c r="K103" s="21"/>
      <c r="L103" s="21"/>
      <c r="M103" s="21"/>
      <c r="N103" s="21"/>
    </row>
    <row r="104" spans="8:14" x14ac:dyDescent="0.25">
      <c r="H104" s="21"/>
      <c r="I104" s="21"/>
      <c r="J104" s="21"/>
      <c r="K104" s="21"/>
      <c r="L104" s="21"/>
      <c r="M104" s="21"/>
      <c r="N104" s="21"/>
    </row>
  </sheetData>
  <mergeCells count="1">
    <mergeCell ref="H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zoomScale="160" zoomScaleNormal="160" workbookViewId="0">
      <selection activeCell="C10" sqref="C10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34</v>
      </c>
    </row>
    <row r="3" spans="1:6" x14ac:dyDescent="0.25">
      <c r="A3" s="3" t="s">
        <v>8</v>
      </c>
      <c r="B3" s="3" t="s">
        <v>7</v>
      </c>
      <c r="C3" s="4">
        <v>9329.5414382880608</v>
      </c>
      <c r="D3" s="5">
        <f>C3/'Material streams'!$D$13</f>
        <v>0.24878704149217634</v>
      </c>
      <c r="E3" s="15"/>
      <c r="F3" s="15"/>
    </row>
    <row r="4" spans="1:6" x14ac:dyDescent="0.25">
      <c r="A4" s="3" t="s">
        <v>47</v>
      </c>
      <c r="B4" s="3" t="s">
        <v>7</v>
      </c>
      <c r="C4" s="4">
        <v>4113.41605399949</v>
      </c>
      <c r="D4" s="5">
        <f>C4/'Material streams'!$D$13</f>
        <v>0.10969077282845954</v>
      </c>
      <c r="E4" s="15"/>
      <c r="F4" s="15"/>
    </row>
    <row r="5" spans="1:6" x14ac:dyDescent="0.25">
      <c r="A5" s="3" t="s">
        <v>48</v>
      </c>
      <c r="B5" s="3" t="s">
        <v>7</v>
      </c>
      <c r="C5" s="4">
        <v>5127.0955108021599</v>
      </c>
      <c r="D5" s="5">
        <f>C5/'Material streams'!$D$13</f>
        <v>0.13672214567218299</v>
      </c>
      <c r="E5" s="15"/>
      <c r="F5" s="15"/>
    </row>
    <row r="6" spans="1:6" x14ac:dyDescent="0.25">
      <c r="A6" s="3" t="s">
        <v>49</v>
      </c>
      <c r="B6" s="3" t="s">
        <v>7</v>
      </c>
      <c r="C6" s="4">
        <v>2412.9475300817799</v>
      </c>
      <c r="D6" s="5">
        <f>C6/'Material streams'!$D$13</f>
        <v>6.434507861460928E-2</v>
      </c>
      <c r="E6" s="15"/>
      <c r="F6" s="15"/>
    </row>
    <row r="7" spans="1:6" x14ac:dyDescent="0.25">
      <c r="A7" s="3" t="s">
        <v>50</v>
      </c>
      <c r="B7" s="3" t="s">
        <v>7</v>
      </c>
      <c r="C7" s="4">
        <v>1645.32788482659</v>
      </c>
      <c r="D7" s="5">
        <f>C7/'Material streams'!$D$13</f>
        <v>4.3875281487114483E-2</v>
      </c>
      <c r="E7" s="15"/>
      <c r="F7" s="15"/>
    </row>
    <row r="8" spans="1:6" x14ac:dyDescent="0.25">
      <c r="A8" s="3" t="s">
        <v>51</v>
      </c>
      <c r="B8" s="3" t="s">
        <v>7</v>
      </c>
      <c r="C8" s="4">
        <v>611.399490396234</v>
      </c>
      <c r="D8" s="5">
        <f>C8/'Material streams'!$D$13</f>
        <v>1.6303938558143615E-2</v>
      </c>
      <c r="E8" s="15"/>
      <c r="F8" s="15"/>
    </row>
    <row r="9" spans="1:6" x14ac:dyDescent="0.25">
      <c r="A9" s="3" t="s">
        <v>36</v>
      </c>
      <c r="B9" s="16" t="s">
        <v>37</v>
      </c>
      <c r="C9" s="4">
        <v>4.2374499796794103</v>
      </c>
      <c r="D9" s="5">
        <f>C9/'Material streams'!$D$13</f>
        <v>1.1299833447215703E-4</v>
      </c>
      <c r="E9" s="15"/>
      <c r="F9" s="15"/>
    </row>
    <row r="10" spans="1:6" ht="14.25" customHeight="1" x14ac:dyDescent="0.25">
      <c r="A10" s="3"/>
      <c r="B10" s="12" t="s">
        <v>9</v>
      </c>
      <c r="C10" s="13">
        <f>SUM(C3:C9)</f>
        <v>23243.965358373993</v>
      </c>
      <c r="D10" s="17">
        <f>SUM(D3:D9)</f>
        <v>0.61983725698715841</v>
      </c>
      <c r="E10" s="14"/>
      <c r="F10" s="14"/>
    </row>
    <row r="18" ht="14.2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zoomScale="145" zoomScaleNormal="145" workbookViewId="0">
      <selection activeCell="B14" sqref="B14"/>
    </sheetView>
  </sheetViews>
  <sheetFormatPr defaultRowHeight="15" x14ac:dyDescent="0.25"/>
  <cols>
    <col min="1" max="1" width="26" customWidth="1"/>
    <col min="2" max="2" width="16.14062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33</v>
      </c>
      <c r="D1" s="8" t="s">
        <v>35</v>
      </c>
    </row>
    <row r="2" spans="1:8" x14ac:dyDescent="0.25">
      <c r="A2" s="3" t="s">
        <v>29</v>
      </c>
      <c r="B2" s="4">
        <v>55868696.815098003</v>
      </c>
      <c r="C2" s="4">
        <f>B2/D10/G10</f>
        <v>32804.120025305623</v>
      </c>
      <c r="D2" s="4">
        <f>C2/'Material streams'!$D$13</f>
        <v>0.87477396652708395</v>
      </c>
      <c r="H2" s="10"/>
    </row>
    <row r="3" spans="1:8" x14ac:dyDescent="0.25">
      <c r="A3" s="3" t="s">
        <v>19</v>
      </c>
      <c r="B3" s="4">
        <v>150934246.00945401</v>
      </c>
      <c r="C3" s="4">
        <f>B3/D11/G11</f>
        <v>7216554.9131940724</v>
      </c>
      <c r="D3" s="4">
        <f>C3/'Material streams'!$D$13</f>
        <v>192.44089953351769</v>
      </c>
      <c r="E3" s="24">
        <f>B3/10^3/'Material streams'!D13</f>
        <v>4.0249014137435219</v>
      </c>
    </row>
    <row r="4" spans="1:8" x14ac:dyDescent="0.25">
      <c r="A4" s="3" t="s">
        <v>30</v>
      </c>
      <c r="B4" s="4">
        <v>194783063.38987401</v>
      </c>
      <c r="C4" s="4">
        <f>B4/D12/G12</f>
        <v>88682.873515695683</v>
      </c>
      <c r="D4" s="4">
        <f>C4/'Material streams'!$D$13</f>
        <v>2.3648696861400427</v>
      </c>
      <c r="H4" s="10"/>
    </row>
    <row r="5" spans="1:8" x14ac:dyDescent="0.25">
      <c r="A5" s="3" t="s">
        <v>31</v>
      </c>
      <c r="B5" s="4">
        <v>0</v>
      </c>
      <c r="C5" s="4">
        <f>B5/D13/G13</f>
        <v>0</v>
      </c>
      <c r="D5" s="4">
        <f>C5/'Material streams'!$D$13</f>
        <v>0</v>
      </c>
      <c r="H5" s="10"/>
    </row>
    <row r="8" spans="1:8" x14ac:dyDescent="0.25">
      <c r="A8" s="7" t="s">
        <v>32</v>
      </c>
    </row>
    <row r="9" spans="1:8" ht="18" x14ac:dyDescent="0.35">
      <c r="A9" s="6" t="s">
        <v>10</v>
      </c>
      <c r="B9" s="6" t="s">
        <v>12</v>
      </c>
      <c r="C9" s="6" t="s">
        <v>13</v>
      </c>
      <c r="D9" s="6" t="s">
        <v>14</v>
      </c>
      <c r="E9" s="9" t="s">
        <v>16</v>
      </c>
      <c r="F9" s="9" t="s">
        <v>17</v>
      </c>
      <c r="G9" s="9" t="s">
        <v>15</v>
      </c>
    </row>
    <row r="10" spans="1:8" x14ac:dyDescent="0.25">
      <c r="A10" s="3" t="s">
        <v>29</v>
      </c>
      <c r="B10" s="4">
        <v>618380821.99223006</v>
      </c>
      <c r="C10" s="4">
        <v>363091.31700559601</v>
      </c>
      <c r="D10" s="3">
        <v>1703.1</v>
      </c>
      <c r="E10" s="3">
        <v>249</v>
      </c>
      <c r="F10" s="3">
        <v>250</v>
      </c>
      <c r="G10" s="3">
        <f>F10-E10</f>
        <v>1</v>
      </c>
    </row>
    <row r="11" spans="1:8" x14ac:dyDescent="0.25">
      <c r="A11" s="3" t="s">
        <v>19</v>
      </c>
      <c r="B11" s="4">
        <v>126775315.356337</v>
      </c>
      <c r="C11" s="4">
        <v>6061454.2364970902</v>
      </c>
      <c r="D11" s="4">
        <v>4.1829999999999998</v>
      </c>
      <c r="E11" s="3">
        <v>15</v>
      </c>
      <c r="F11" s="3">
        <v>20</v>
      </c>
      <c r="G11" s="3">
        <f>F11-E11</f>
        <v>5</v>
      </c>
    </row>
    <row r="12" spans="1:8" x14ac:dyDescent="0.25">
      <c r="A12" s="3" t="s">
        <v>30</v>
      </c>
      <c r="B12" s="4">
        <v>8719454.9889103491</v>
      </c>
      <c r="C12" s="4">
        <v>3969.88480646073</v>
      </c>
      <c r="D12" s="3">
        <v>2196.4</v>
      </c>
      <c r="E12" s="3">
        <v>124</v>
      </c>
      <c r="F12" s="3">
        <v>125</v>
      </c>
      <c r="G12" s="3">
        <f>F12-E12</f>
        <v>1</v>
      </c>
    </row>
    <row r="13" spans="1:8" x14ac:dyDescent="0.25">
      <c r="A13" s="3" t="s">
        <v>31</v>
      </c>
      <c r="B13" s="3">
        <v>975898.63561060699</v>
      </c>
      <c r="C13" s="3">
        <v>492.52984536721902</v>
      </c>
      <c r="D13" s="3">
        <v>1981.4</v>
      </c>
      <c r="E13" s="3">
        <v>174</v>
      </c>
      <c r="F13" s="3">
        <v>175</v>
      </c>
      <c r="G13" s="3">
        <f>F13-E13</f>
        <v>1</v>
      </c>
    </row>
    <row r="15" spans="1:8" x14ac:dyDescent="0.25">
      <c r="E15" s="11"/>
    </row>
    <row r="16" spans="1:8" x14ac:dyDescent="0.25">
      <c r="A16" t="s">
        <v>18</v>
      </c>
      <c r="E16" s="11"/>
    </row>
    <row r="17" spans="4:5" x14ac:dyDescent="0.25">
      <c r="E17" s="11"/>
    </row>
    <row r="18" spans="4:5" x14ac:dyDescent="0.25">
      <c r="D18" s="11"/>
      <c r="E18" s="11"/>
    </row>
    <row r="19" spans="4:5" x14ac:dyDescent="0.25">
      <c r="E19" s="11"/>
    </row>
    <row r="20" spans="4:5" x14ac:dyDescent="0.25">
      <c r="D20" s="11"/>
      <c r="E20" s="11"/>
    </row>
    <row r="21" spans="4:5" x14ac:dyDescent="0.25">
      <c r="E21" s="11"/>
    </row>
    <row r="22" spans="4:5" x14ac:dyDescent="0.25">
      <c r="E22" s="11"/>
    </row>
    <row r="23" spans="4:5" x14ac:dyDescent="0.25">
      <c r="E23" s="11"/>
    </row>
    <row r="24" spans="4:5" x14ac:dyDescent="0.25">
      <c r="E24" s="11"/>
    </row>
    <row r="25" spans="4:5" x14ac:dyDescent="0.25">
      <c r="D25" s="11"/>
      <c r="E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2023-11-28T17:40:55Z</dcterms:modified>
</cp:coreProperties>
</file>