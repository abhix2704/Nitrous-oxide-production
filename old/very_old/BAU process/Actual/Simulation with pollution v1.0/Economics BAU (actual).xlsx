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BAU\Actual\"/>
    </mc:Choice>
  </mc:AlternateContent>
  <xr:revisionPtr revIDLastSave="0" documentId="13_ncr:1_{A870945F-4B8B-4AC3-BCC1-618A9B036BAE}" xr6:coauthVersionLast="36" xr6:coauthVersionMax="36" xr10:uidLastSave="{00000000-0000-0000-0000-000000000000}"/>
  <bookViews>
    <workbookView xWindow="0" yWindow="0" windowWidth="17265" windowHeight="5775" activeTab="2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8" l="1"/>
  <c r="G12" i="8"/>
  <c r="G11" i="8"/>
  <c r="D48" i="7" l="1"/>
  <c r="H48" i="7" s="1"/>
  <c r="D47" i="7"/>
  <c r="D45" i="7"/>
  <c r="H45" i="7" s="1"/>
  <c r="D44" i="7"/>
  <c r="D43" i="7"/>
  <c r="H43" i="7" s="1"/>
  <c r="D42" i="7"/>
  <c r="H42" i="7" s="1"/>
  <c r="D41" i="7"/>
  <c r="H41" i="7" s="1"/>
  <c r="D40" i="7"/>
  <c r="H40" i="7" s="1"/>
  <c r="D39" i="7"/>
  <c r="D37" i="7"/>
  <c r="H37" i="7" s="1"/>
  <c r="D36" i="7"/>
  <c r="H36" i="7" s="1"/>
  <c r="D35" i="7"/>
  <c r="H35" i="7" s="1"/>
  <c r="D34" i="7"/>
  <c r="H34" i="7" s="1"/>
  <c r="D33" i="7"/>
  <c r="H33" i="7" s="1"/>
  <c r="D32" i="7"/>
  <c r="H32" i="7" s="1"/>
  <c r="D31" i="7"/>
  <c r="H31" i="7" s="1"/>
  <c r="D30" i="7"/>
  <c r="D26" i="7"/>
  <c r="H26" i="7" s="1"/>
  <c r="D25" i="7"/>
  <c r="D9" i="8"/>
  <c r="D7" i="8"/>
  <c r="D6" i="8"/>
  <c r="D5" i="8"/>
  <c r="H53" i="7" l="1"/>
  <c r="H52" i="7"/>
  <c r="H47" i="7"/>
  <c r="H44" i="7"/>
  <c r="H38" i="7"/>
  <c r="H30" i="7"/>
  <c r="H29" i="7"/>
  <c r="H28" i="7"/>
  <c r="D19" i="7"/>
  <c r="H39" i="7" l="1"/>
  <c r="H27" i="7"/>
  <c r="H25" i="7"/>
  <c r="H22" i="7"/>
  <c r="M18" i="7"/>
  <c r="N18" i="7" s="1"/>
  <c r="O18" i="7" s="1"/>
  <c r="Q18" i="7" s="1"/>
  <c r="D57" i="7" s="1"/>
  <c r="H57" i="7" s="1"/>
  <c r="M17" i="7"/>
  <c r="N17" i="7" s="1"/>
  <c r="O17" i="7" s="1"/>
  <c r="Q17" i="7" s="1"/>
  <c r="D56" i="7" s="1"/>
  <c r="H56" i="7" s="1"/>
  <c r="M15" i="7"/>
  <c r="N15" i="7" s="1"/>
  <c r="O15" i="7" s="1"/>
  <c r="Q15" i="7" s="1"/>
  <c r="D61" i="7" s="1"/>
  <c r="H61" i="7" s="1"/>
  <c r="M14" i="7"/>
  <c r="N14" i="7" s="1"/>
  <c r="O14" i="7" s="1"/>
  <c r="Q14" i="7" s="1"/>
  <c r="D60" i="7" s="1"/>
  <c r="H60" i="7" s="1"/>
  <c r="H51" i="7"/>
  <c r="H49" i="7"/>
  <c r="H46" i="7"/>
  <c r="H50" i="7"/>
  <c r="H19" i="7"/>
  <c r="H17" i="7"/>
  <c r="H16" i="7"/>
  <c r="H15" i="7"/>
  <c r="H14" i="7"/>
  <c r="F5" i="8" l="1"/>
  <c r="E5" i="8"/>
  <c r="L17" i="11" l="1"/>
  <c r="L16" i="11"/>
  <c r="L15" i="11"/>
  <c r="L14" i="11"/>
  <c r="L13" i="11"/>
  <c r="L12" i="11"/>
  <c r="L11" i="11"/>
  <c r="I14" i="11"/>
  <c r="I13" i="11"/>
  <c r="I12" i="11"/>
  <c r="I11" i="11"/>
  <c r="F10" i="8"/>
  <c r="H10" i="8" s="1"/>
  <c r="E10" i="8"/>
  <c r="G10" i="8" s="1"/>
  <c r="H9" i="8"/>
  <c r="G9" i="8"/>
  <c r="H5" i="8"/>
  <c r="G5" i="8"/>
  <c r="H7" i="8"/>
  <c r="G7" i="8"/>
  <c r="H6" i="8"/>
  <c r="G6" i="8"/>
  <c r="I20" i="11" l="1"/>
  <c r="L20" i="11"/>
  <c r="C20" i="11"/>
  <c r="H11" i="8"/>
  <c r="F20" i="11" s="1"/>
  <c r="F9" i="8"/>
  <c r="F14" i="11" l="1"/>
  <c r="F13" i="11"/>
  <c r="F12" i="11"/>
  <c r="F11" i="11"/>
  <c r="G6" i="12"/>
  <c r="G7" i="12" s="1"/>
  <c r="C79" i="7"/>
  <c r="G8" i="12" l="1"/>
  <c r="G9" i="12" s="1"/>
  <c r="C6" i="12" l="1"/>
  <c r="M16" i="7" l="1"/>
  <c r="N16" i="7" s="1"/>
  <c r="O16" i="7" s="1"/>
  <c r="Q16" i="7" s="1"/>
  <c r="D55" i="7" l="1"/>
  <c r="H55" i="7" s="1"/>
  <c r="C7" i="12" l="1"/>
  <c r="C8" i="12" l="1"/>
  <c r="C9" i="12" s="1"/>
  <c r="C16" i="11" l="1"/>
  <c r="I16" i="11" s="1"/>
  <c r="C15" i="11"/>
  <c r="I15" i="11" s="1"/>
  <c r="H21" i="7" l="1"/>
  <c r="B79" i="7" l="1"/>
  <c r="C17" i="11" s="1"/>
  <c r="I17" i="11" s="1"/>
  <c r="M13" i="7" l="1"/>
  <c r="N13" i="7" s="1"/>
  <c r="O13" i="7" s="1"/>
  <c r="Q13" i="7" s="1"/>
  <c r="D59" i="7" s="1"/>
  <c r="H59" i="7" s="1"/>
  <c r="H62" i="7" s="1"/>
  <c r="B66" i="7" l="1"/>
  <c r="B67" i="7"/>
  <c r="B70" i="7"/>
  <c r="C3" i="11"/>
  <c r="I3" i="11" s="1"/>
  <c r="C70" i="7" l="1"/>
  <c r="F3" i="11"/>
  <c r="L3" i="11" s="1"/>
  <c r="C11" i="12"/>
  <c r="B74" i="7"/>
  <c r="B71" i="7"/>
  <c r="B73" i="7" s="1"/>
  <c r="C7" i="11" s="1"/>
  <c r="I7" i="11" s="1"/>
  <c r="C4" i="11"/>
  <c r="I4" i="11" s="1"/>
  <c r="C74" i="7" l="1"/>
  <c r="C71" i="7"/>
  <c r="G11" i="12"/>
  <c r="F4" i="11"/>
  <c r="L4" i="11" s="1"/>
  <c r="G15" i="12"/>
  <c r="C73" i="7"/>
  <c r="F7" i="11" s="1"/>
  <c r="L7" i="11" s="1"/>
  <c r="C15" i="12"/>
  <c r="B75" i="7"/>
  <c r="C8" i="11"/>
  <c r="I8" i="11" s="1"/>
  <c r="C14" i="12"/>
  <c r="C12" i="12"/>
  <c r="B72" i="7"/>
  <c r="C6" i="11" s="1"/>
  <c r="I6" i="11" s="1"/>
  <c r="C5" i="11"/>
  <c r="I5" i="11" s="1"/>
  <c r="C72" i="7" l="1"/>
  <c r="F6" i="11" s="1"/>
  <c r="L6" i="11" s="1"/>
  <c r="F5" i="11"/>
  <c r="L5" i="11" s="1"/>
  <c r="G12" i="12"/>
  <c r="G14" i="12"/>
  <c r="G16" i="12" s="1"/>
  <c r="C75" i="7"/>
  <c r="F8" i="11"/>
  <c r="L8" i="11" s="1"/>
  <c r="C16" i="12"/>
  <c r="B76" i="7"/>
  <c r="B80" i="7" s="1"/>
  <c r="B81" i="7" s="1"/>
  <c r="C18" i="11" s="1"/>
  <c r="I18" i="11" s="1"/>
  <c r="I21" i="11" s="1"/>
  <c r="I22" i="11" s="1"/>
  <c r="I24" i="11" s="1"/>
  <c r="C18" i="12"/>
  <c r="C19" i="12" s="1"/>
  <c r="C9" i="11"/>
  <c r="I9" i="11" s="1"/>
  <c r="C76" i="7" l="1"/>
  <c r="G18" i="12"/>
  <c r="G19" i="12" s="1"/>
  <c r="G20" i="12" s="1"/>
  <c r="F9" i="11"/>
  <c r="L9" i="11" s="1"/>
  <c r="C10" i="11"/>
  <c r="I10" i="11" s="1"/>
  <c r="C20" i="12"/>
  <c r="C21" i="11" s="1"/>
  <c r="C22" i="11" s="1"/>
  <c r="C24" i="11" s="1"/>
  <c r="F10" i="11" l="1"/>
  <c r="L10" i="11" s="1"/>
  <c r="C80" i="7"/>
  <c r="C81" i="7" s="1"/>
  <c r="F18" i="11" s="1"/>
  <c r="L18" i="11" l="1"/>
  <c r="L21" i="11" s="1"/>
  <c r="L22" i="11" s="1"/>
  <c r="L24" i="11" s="1"/>
  <c r="F21" i="11"/>
  <c r="F22" i="11" s="1"/>
  <c r="F24" i="11" s="1"/>
</calcChain>
</file>

<file path=xl/sharedStrings.xml><?xml version="1.0" encoding="utf-8"?>
<sst xmlns="http://schemas.openxmlformats.org/spreadsheetml/2006/main" count="357" uniqueCount="150">
  <si>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</si>
  <si>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</si>
  <si>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</si>
  <si>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</si>
  <si>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</si>
  <si>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</si>
  <si>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</si>
  <si>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</si>
  <si>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</si>
  <si>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</si>
  <si>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</si>
  <si>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</si>
  <si>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</si>
  <si>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</si>
  <si>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</si>
  <si>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</si>
  <si>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</si>
  <si>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</si>
  <si>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</si>
  <si>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</si>
  <si>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</si>
  <si>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</si>
  <si>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</si>
  <si>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</si>
  <si>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</si>
  <si>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</si>
  <si>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</si>
  <si>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</si>
  <si>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</si>
  <si>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</si>
  <si>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</si>
  <si>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</si>
  <si>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</si>
  <si>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</si>
  <si>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</si>
  <si>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</si>
  <si>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</si>
  <si>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</si>
  <si>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</si>
  <si>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</si>
  <si>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</si>
  <si>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</si>
  <si>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</si>
  <si>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</si>
  <si>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</si>
  <si>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</si>
  <si>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V-100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</si>
  <si>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</si>
  <si>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</si>
  <si>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</si>
  <si>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</si>
  <si>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</si>
  <si>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</si>
  <si>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</si>
  <si>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</si>
  <si>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</si>
  <si>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</si>
  <si>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</si>
  <si>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</si>
  <si>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</si>
  <si>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</si>
  <si>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</si>
  <si>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Purchased equipment cost 2019 (M$/year)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</si>
  <si>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</si>
  <si>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</si>
  <si>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</si>
  <si>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</si>
  <si>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</si>
  <si>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</si>
  <si>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 xml:space="preserve">Maintanance </t>
  </si>
  <si>
    <t>3% of the installed capital cost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</si>
  <si>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</si>
  <si>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</si>
  <si>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</si>
  <si>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</si>
  <si>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</si>
  <si>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</si>
  <si>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</si>
  <si>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</si>
  <si>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</si>
  <si>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</si>
  <si>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</si>
  <si>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</si>
  <si>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</si>
  <si>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9 shift positions, 9 operators/shift</t>
  </si>
  <si>
    <t>CEPCI 2018</t>
  </si>
  <si>
    <t>Reference Data</t>
  </si>
  <si>
    <t>2019 costs</t>
  </si>
  <si>
    <t xml:space="preserve">OPEX (M$/year) </t>
  </si>
  <si>
    <t>Heat exchangers</t>
  </si>
  <si>
    <t>Pressure vessel</t>
  </si>
  <si>
    <t>CRV-100</t>
  </si>
  <si>
    <t>Flash separators</t>
  </si>
  <si>
    <t>CEPCI 2022</t>
  </si>
  <si>
    <t>Purchased equipment cost 2022</t>
  </si>
  <si>
    <t>Purchased equipment cost 2022 (M$/year)</t>
  </si>
  <si>
    <t>Total product Produced (kg/hr)</t>
  </si>
  <si>
    <t>Total expenses ($/hr)</t>
  </si>
  <si>
    <t>Total expenses (M$/year)</t>
  </si>
  <si>
    <t>Fixed production costs (M$/year)</t>
  </si>
  <si>
    <t>Fossil ammonia 2019</t>
  </si>
  <si>
    <t>Fossil ammonia 2022</t>
  </si>
  <si>
    <t>Oxygen</t>
  </si>
  <si>
    <t>Ammonia fossil</t>
  </si>
  <si>
    <t>2022 costs</t>
  </si>
  <si>
    <t>Raw material costs</t>
  </si>
  <si>
    <t>Ammonia wind</t>
  </si>
  <si>
    <t>Utility costs</t>
  </si>
  <si>
    <t>Price 2019 ($/unit)</t>
  </si>
  <si>
    <t>Price 2022 ($/unit)</t>
  </si>
  <si>
    <t>OPEX (fossil ammonia)</t>
  </si>
  <si>
    <t>OPEX (wind ammonia)</t>
  </si>
  <si>
    <t>Wind ammonia 2019</t>
  </si>
  <si>
    <t>Wind ammonia 2022</t>
  </si>
  <si>
    <t xml:space="preserve">Cost per kg </t>
  </si>
  <si>
    <t xml:space="preserve"> </t>
  </si>
  <si>
    <t>Compressors</t>
  </si>
  <si>
    <t xml:space="preserve">Centrifugal Compressor </t>
  </si>
  <si>
    <t>Power, kW</t>
  </si>
  <si>
    <t>Pumps</t>
  </si>
  <si>
    <t>P-100</t>
  </si>
  <si>
    <t>Centrifugal Pump</t>
  </si>
  <si>
    <t>Flow, litres/s</t>
  </si>
  <si>
    <t>K-100</t>
  </si>
  <si>
    <t>K-101</t>
  </si>
  <si>
    <t>K-102</t>
  </si>
  <si>
    <t>K-103</t>
  </si>
  <si>
    <t>E-114</t>
  </si>
  <si>
    <t>E-116</t>
  </si>
  <si>
    <t>E-115</t>
  </si>
  <si>
    <t>E-121</t>
  </si>
  <si>
    <t>E-122</t>
  </si>
  <si>
    <t>E-112</t>
  </si>
  <si>
    <t>E-118</t>
  </si>
  <si>
    <t>E-120</t>
  </si>
  <si>
    <t>E-113</t>
  </si>
  <si>
    <t>E-117</t>
  </si>
  <si>
    <t>E-119</t>
  </si>
  <si>
    <t>V-101</t>
  </si>
  <si>
    <t>V-102</t>
  </si>
  <si>
    <t>CRV-101</t>
  </si>
  <si>
    <t>CRV-102</t>
  </si>
  <si>
    <t>E-130</t>
  </si>
  <si>
    <t>E-125</t>
  </si>
  <si>
    <t>E-129</t>
  </si>
  <si>
    <t>E-124</t>
  </si>
  <si>
    <t>E-126</t>
  </si>
  <si>
    <t>E-128</t>
  </si>
  <si>
    <t>E-123</t>
  </si>
  <si>
    <t>E-127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</si>
</sst>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3" xfId="0" applyNumberFormat="1" applyFont="1" applyBorder="1"/>
    <xf numFmtId="0" fontId="1" fillId="0" borderId="1" xfId="0" applyFont="1" applyFill="1" applyBorder="1"/>
    <xf numFmtId="2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0" fontId="0" fillId="0" borderId="2" xfId="0" applyFont="1" applyBorder="1"/>
    <xf numFmtId="2" fontId="0" fillId="0" borderId="1" xfId="0" applyNumberFormat="1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"/>
  <sheetViews>
    <sheetView topLeftCell="A55" zoomScale="130" zoomScaleNormal="130" workbookViewId="0">
      <selection activeCell="D28" sqref="D28"/>
    </sheetView>
  </sheetViews>
  <sheetFormatPr defaultRowHeight="15" x14ac:dyDescent="0.25"/>
  <cols>
    <col min="1" max="1" width="27.85546875" bestFit="1" customWidth="1"/>
    <col min="2" max="2" width="21.140625" bestFit="1" customWidth="1"/>
    <col min="3" max="3" width="16.140625" bestFit="1" customWidth="1"/>
    <col min="4" max="4" width="9.5703125" style="31" bestFit="1" customWidth="1"/>
    <col min="5" max="5" width="7.7109375" bestFit="1" customWidth="1"/>
    <col min="6" max="6" width="6.85546875" bestFit="1" customWidth="1"/>
    <col min="7" max="7" width="5.7109375" bestFit="1" customWidth="1"/>
    <col min="8" max="8" width="9.28515625" bestFit="1" customWidth="1"/>
    <col min="10" max="10" width="11.140625" bestFit="1" customWidth="1"/>
    <col min="11" max="11" width="11.5703125" bestFit="1" customWidth="1"/>
    <col min="12" max="12" width="7" bestFit="1" customWidth="1"/>
    <col min="13" max="13" width="9.28515625" bestFit="1" customWidth="1"/>
    <col min="14" max="14" width="9" bestFit="1" customWidth="1"/>
    <col min="15" max="15" width="8.28515625" bestFit="1" customWidth="1"/>
    <col min="16" max="16" width="7.5703125" bestFit="1" customWidth="1"/>
    <col min="17" max="17" width="10.85546875" bestFit="1" customWidth="1"/>
  </cols>
  <sheetData>
    <row r="1" spans="1:17" x14ac:dyDescent="0.25">
      <c r="A1" s="2" t="s">
        <v>0</v>
      </c>
      <c r="B1" s="3"/>
      <c r="C1" s="3"/>
    </row>
    <row r="2" spans="1:17" ht="18" x14ac:dyDescent="0.35">
      <c r="A2" s="3" t="s">
        <v>1</v>
      </c>
      <c r="B2" s="3" t="s">
        <v>38</v>
      </c>
      <c r="C2" s="3">
        <v>0.3</v>
      </c>
    </row>
    <row r="3" spans="1:17" ht="18" x14ac:dyDescent="0.35">
      <c r="A3" s="3" t="s">
        <v>2</v>
      </c>
      <c r="B3" s="3" t="s">
        <v>39</v>
      </c>
      <c r="C3" s="3">
        <v>0.8</v>
      </c>
    </row>
    <row r="4" spans="1:17" ht="18" x14ac:dyDescent="0.35">
      <c r="A4" s="3" t="s">
        <v>3</v>
      </c>
      <c r="B4" s="3" t="s">
        <v>40</v>
      </c>
      <c r="C4" s="3">
        <v>0.3</v>
      </c>
    </row>
    <row r="5" spans="1:17" ht="18" x14ac:dyDescent="0.35">
      <c r="A5" s="3" t="s">
        <v>4</v>
      </c>
      <c r="B5" s="3" t="s">
        <v>41</v>
      </c>
      <c r="C5" s="3">
        <v>0.2</v>
      </c>
    </row>
    <row r="6" spans="1:17" ht="18" x14ac:dyDescent="0.35">
      <c r="A6" s="3" t="s">
        <v>5</v>
      </c>
      <c r="B6" s="3" t="s">
        <v>42</v>
      </c>
      <c r="C6" s="3">
        <v>0.3</v>
      </c>
    </row>
    <row r="7" spans="1:17" ht="18" x14ac:dyDescent="0.35">
      <c r="A7" s="3" t="s">
        <v>6</v>
      </c>
      <c r="B7" s="3" t="s">
        <v>43</v>
      </c>
      <c r="C7" s="3">
        <v>0.2</v>
      </c>
    </row>
    <row r="8" spans="1:17" ht="18" x14ac:dyDescent="0.35">
      <c r="A8" s="3" t="s">
        <v>7</v>
      </c>
      <c r="B8" s="3" t="s">
        <v>44</v>
      </c>
      <c r="C8" s="3">
        <v>0.1</v>
      </c>
    </row>
    <row r="9" spans="1:17" ht="18" x14ac:dyDescent="0.35">
      <c r="A9" s="3" t="s">
        <v>8</v>
      </c>
      <c r="B9" s="3" t="s">
        <v>45</v>
      </c>
      <c r="C9" s="3">
        <v>1.3</v>
      </c>
    </row>
    <row r="10" spans="1:17" x14ac:dyDescent="0.25">
      <c r="A10" s="22"/>
      <c r="B10" s="22"/>
      <c r="C10" s="22"/>
    </row>
    <row r="12" spans="1:17" ht="63.75" x14ac:dyDescent="0.35">
      <c r="A12" s="4" t="s">
        <v>9</v>
      </c>
      <c r="B12" s="5" t="s">
        <v>13</v>
      </c>
      <c r="C12" s="5" t="s">
        <v>14</v>
      </c>
      <c r="D12" s="19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J12" s="2" t="s">
        <v>22</v>
      </c>
      <c r="K12" s="5" t="s">
        <v>20</v>
      </c>
      <c r="L12" s="5" t="s">
        <v>17</v>
      </c>
      <c r="M12" s="5" t="s">
        <v>21</v>
      </c>
      <c r="N12" s="5" t="s">
        <v>47</v>
      </c>
      <c r="O12" s="5" t="s">
        <v>16</v>
      </c>
      <c r="P12" s="5" t="s">
        <v>48</v>
      </c>
      <c r="Q12" s="5" t="s">
        <v>18</v>
      </c>
    </row>
    <row r="13" spans="1:17" x14ac:dyDescent="0.25">
      <c r="A13" s="46" t="s">
        <v>116</v>
      </c>
      <c r="B13" s="47"/>
      <c r="C13" s="47"/>
      <c r="D13" s="47"/>
      <c r="E13" s="47"/>
      <c r="F13" s="47"/>
      <c r="G13" s="47"/>
      <c r="H13" s="48"/>
      <c r="J13" s="33" t="s">
        <v>46</v>
      </c>
      <c r="K13" s="34">
        <v>3.048</v>
      </c>
      <c r="L13" s="34">
        <v>10.667999999999999</v>
      </c>
      <c r="M13" s="37">
        <f t="shared" ref="M13" si="0">K13+0.0254</f>
        <v>3.0733999999999999</v>
      </c>
      <c r="N13" s="37">
        <f t="shared" ref="N13" si="1">PI()*(M13*M13-K13*K13)/4</f>
        <v>0.12211650246249588</v>
      </c>
      <c r="O13" s="37">
        <f t="shared" ref="O13" si="2">N13*L13</f>
        <v>1.3027388482699058</v>
      </c>
      <c r="P13" s="35">
        <v>8000</v>
      </c>
      <c r="Q13" s="34">
        <f t="shared" ref="Q13" si="3">P13*O13</f>
        <v>10421.910786159247</v>
      </c>
    </row>
    <row r="14" spans="1:17" x14ac:dyDescent="0.25">
      <c r="A14" s="6" t="s">
        <v>123</v>
      </c>
      <c r="B14" s="6" t="s">
        <v>117</v>
      </c>
      <c r="C14" s="6" t="s">
        <v>118</v>
      </c>
      <c r="D14" s="9">
        <v>1484.89987794475</v>
      </c>
      <c r="E14" s="8">
        <v>580000</v>
      </c>
      <c r="F14" s="8">
        <v>20000</v>
      </c>
      <c r="G14" s="9">
        <v>0.6</v>
      </c>
      <c r="H14" s="9">
        <f t="shared" ref="H14:H17" si="4">(E14+(F14*(D14^G14)))/1000000</f>
        <v>2.179735927952291</v>
      </c>
      <c r="J14" s="33" t="s">
        <v>138</v>
      </c>
      <c r="K14" s="34">
        <v>3.048</v>
      </c>
      <c r="L14" s="34">
        <v>10.667999999999999</v>
      </c>
      <c r="M14" s="37">
        <f t="shared" ref="M14:M15" si="5">K14+0.0254</f>
        <v>3.0733999999999999</v>
      </c>
      <c r="N14" s="37">
        <f t="shared" ref="N14:N15" si="6">PI()*(M14*M14-K14*K14)/4</f>
        <v>0.12211650246249588</v>
      </c>
      <c r="O14" s="37">
        <f t="shared" ref="O14:O15" si="7">N14*L14</f>
        <v>1.3027388482699058</v>
      </c>
      <c r="P14" s="35">
        <v>8000</v>
      </c>
      <c r="Q14" s="34">
        <f t="shared" ref="Q14:Q15" si="8">P14*O14</f>
        <v>10421.910786159247</v>
      </c>
    </row>
    <row r="15" spans="1:17" x14ac:dyDescent="0.25">
      <c r="A15" s="6" t="s">
        <v>124</v>
      </c>
      <c r="B15" s="6" t="s">
        <v>117</v>
      </c>
      <c r="C15" s="6" t="s">
        <v>118</v>
      </c>
      <c r="D15" s="9">
        <v>656.834638893273</v>
      </c>
      <c r="E15" s="8">
        <v>580000</v>
      </c>
      <c r="F15" s="8">
        <v>20000</v>
      </c>
      <c r="G15" s="9">
        <v>0.6</v>
      </c>
      <c r="H15" s="9">
        <f t="shared" si="4"/>
        <v>1.5606264978473821</v>
      </c>
      <c r="J15" s="33" t="s">
        <v>139</v>
      </c>
      <c r="K15" s="34">
        <v>2.8956</v>
      </c>
      <c r="L15" s="34">
        <v>10.134600000000001</v>
      </c>
      <c r="M15" s="37">
        <f t="shared" si="5"/>
        <v>2.9209999999999998</v>
      </c>
      <c r="N15" s="37">
        <f t="shared" si="6"/>
        <v>0.11603601271332664</v>
      </c>
      <c r="O15" s="37">
        <f t="shared" si="7"/>
        <v>1.1759785744444802</v>
      </c>
      <c r="P15" s="35">
        <v>8000</v>
      </c>
      <c r="Q15" s="34">
        <f t="shared" si="8"/>
        <v>9407.8285955558422</v>
      </c>
    </row>
    <row r="16" spans="1:17" x14ac:dyDescent="0.25">
      <c r="A16" s="6" t="s">
        <v>125</v>
      </c>
      <c r="B16" s="6" t="s">
        <v>117</v>
      </c>
      <c r="C16" s="6" t="s">
        <v>118</v>
      </c>
      <c r="D16" s="9">
        <v>1041.60359489541</v>
      </c>
      <c r="E16" s="8">
        <v>580000</v>
      </c>
      <c r="F16" s="8">
        <v>20000</v>
      </c>
      <c r="G16" s="9">
        <v>0.6</v>
      </c>
      <c r="H16" s="9">
        <f t="shared" si="4"/>
        <v>1.8731576630889661</v>
      </c>
      <c r="J16" s="33" t="s">
        <v>91</v>
      </c>
      <c r="K16" s="34">
        <v>3.048</v>
      </c>
      <c r="L16" s="34">
        <v>10.667999999999999</v>
      </c>
      <c r="M16" s="37">
        <f t="shared" ref="M16" si="9">K16+0.0254</f>
        <v>3.0733999999999999</v>
      </c>
      <c r="N16" s="37">
        <f t="shared" ref="N16" si="10">PI()*(M16*M16-K16*K16)/4</f>
        <v>0.12211650246249588</v>
      </c>
      <c r="O16" s="37">
        <f t="shared" ref="O16" si="11">N16*L16</f>
        <v>1.3027388482699058</v>
      </c>
      <c r="P16" s="35">
        <v>8000</v>
      </c>
      <c r="Q16" s="34">
        <f t="shared" ref="Q16" si="12">P16*O16</f>
        <v>10421.910786159247</v>
      </c>
    </row>
    <row r="17" spans="1:17" x14ac:dyDescent="0.25">
      <c r="A17" s="6" t="s">
        <v>126</v>
      </c>
      <c r="B17" s="6" t="s">
        <v>117</v>
      </c>
      <c r="C17" s="6" t="s">
        <v>118</v>
      </c>
      <c r="D17" s="9">
        <v>490.54620246080901</v>
      </c>
      <c r="E17" s="8">
        <v>580000</v>
      </c>
      <c r="F17" s="8">
        <v>20000</v>
      </c>
      <c r="G17" s="9">
        <v>0.6</v>
      </c>
      <c r="H17" s="9">
        <f t="shared" si="4"/>
        <v>1.4030722250321057</v>
      </c>
      <c r="J17" s="33" t="s">
        <v>140</v>
      </c>
      <c r="K17" s="34">
        <v>3.048</v>
      </c>
      <c r="L17" s="34">
        <v>10.667999999999999</v>
      </c>
      <c r="M17" s="37">
        <f t="shared" ref="M17:M18" si="13">K17+0.0254</f>
        <v>3.0733999999999999</v>
      </c>
      <c r="N17" s="37">
        <f t="shared" ref="N17:N18" si="14">PI()*(M17*M17-K17*K17)/4</f>
        <v>0.12211650246249588</v>
      </c>
      <c r="O17" s="37">
        <f t="shared" ref="O17:O18" si="15">N17*L17</f>
        <v>1.3027388482699058</v>
      </c>
      <c r="P17" s="35">
        <v>8000</v>
      </c>
      <c r="Q17" s="34">
        <f t="shared" ref="Q17:Q18" si="16">P17*O17</f>
        <v>10421.910786159247</v>
      </c>
    </row>
    <row r="18" spans="1:17" x14ac:dyDescent="0.25">
      <c r="A18" s="46" t="s">
        <v>119</v>
      </c>
      <c r="B18" s="47"/>
      <c r="C18" s="47"/>
      <c r="D18" s="47"/>
      <c r="E18" s="47"/>
      <c r="F18" s="47"/>
      <c r="G18" s="47"/>
      <c r="H18" s="48"/>
      <c r="J18" s="33" t="s">
        <v>141</v>
      </c>
      <c r="K18" s="34">
        <v>2.8956</v>
      </c>
      <c r="L18" s="34">
        <v>10.134600000000001</v>
      </c>
      <c r="M18" s="37">
        <f t="shared" si="13"/>
        <v>2.9209999999999998</v>
      </c>
      <c r="N18" s="37">
        <f t="shared" si="14"/>
        <v>0.11603601271332664</v>
      </c>
      <c r="O18" s="37">
        <f t="shared" si="15"/>
        <v>1.1759785744444802</v>
      </c>
      <c r="P18" s="35">
        <v>8000</v>
      </c>
      <c r="Q18" s="34">
        <f t="shared" si="16"/>
        <v>9407.8285955558422</v>
      </c>
    </row>
    <row r="19" spans="1:17" x14ac:dyDescent="0.25">
      <c r="A19" s="6" t="s">
        <v>120</v>
      </c>
      <c r="B19" s="6" t="s">
        <v>121</v>
      </c>
      <c r="C19" s="6" t="s">
        <v>122</v>
      </c>
      <c r="D19" s="9">
        <f>16.6199752598893*1000/3600</f>
        <v>4.6166597944136951</v>
      </c>
      <c r="E19" s="8">
        <v>8000</v>
      </c>
      <c r="F19" s="8">
        <v>240</v>
      </c>
      <c r="G19" s="9">
        <v>0.9</v>
      </c>
      <c r="H19" s="9">
        <f>(E19+(F19*(D19^G19)))/1000000</f>
        <v>8.9508375551609915E-3</v>
      </c>
    </row>
    <row r="20" spans="1:17" x14ac:dyDescent="0.25">
      <c r="A20" s="46" t="s">
        <v>89</v>
      </c>
      <c r="B20" s="47"/>
      <c r="C20" s="47"/>
      <c r="D20" s="47"/>
      <c r="E20" s="47"/>
      <c r="F20" s="47"/>
      <c r="G20" s="47"/>
      <c r="H20" s="48"/>
      <c r="J20" t="s">
        <v>115</v>
      </c>
    </row>
    <row r="21" spans="1:17" x14ac:dyDescent="0.25">
      <c r="A21" s="6" t="s">
        <v>142</v>
      </c>
      <c r="B21" s="6" t="s">
        <v>49</v>
      </c>
      <c r="C21" s="6" t="s">
        <v>50</v>
      </c>
      <c r="D21" s="21">
        <v>301.50824891270599</v>
      </c>
      <c r="E21" s="8">
        <v>28000</v>
      </c>
      <c r="F21" s="8">
        <v>54</v>
      </c>
      <c r="G21" s="9">
        <v>1.2</v>
      </c>
      <c r="H21" s="9">
        <f t="shared" ref="H21" si="17">(E21+(F21*(D21^G21)))/1000000</f>
        <v>7.8997959291269015E-2</v>
      </c>
    </row>
    <row r="22" spans="1:17" x14ac:dyDescent="0.25">
      <c r="A22" s="6" t="s">
        <v>136</v>
      </c>
      <c r="B22" s="6" t="s">
        <v>49</v>
      </c>
      <c r="C22" s="6" t="s">
        <v>50</v>
      </c>
      <c r="D22" s="21">
        <v>55.793536352047099</v>
      </c>
      <c r="E22" s="8">
        <v>28000</v>
      </c>
      <c r="F22" s="8">
        <v>54</v>
      </c>
      <c r="G22" s="9">
        <v>1.2</v>
      </c>
      <c r="H22" s="9">
        <f t="shared" ref="H22:H50" si="18">(E22+(F22*(D22^G22)))/1000000</f>
        <v>3.4734330505253139E-2</v>
      </c>
    </row>
    <row r="23" spans="1:17" x14ac:dyDescent="0.25">
      <c r="A23" s="6" t="s">
        <v>143</v>
      </c>
      <c r="B23" s="6" t="s">
        <v>49</v>
      </c>
      <c r="C23" s="6" t="s">
        <v>50</v>
      </c>
      <c r="D23" s="21">
        <v>449.39484753265202</v>
      </c>
      <c r="E23" s="8">
        <v>28000</v>
      </c>
      <c r="F23" s="8">
        <v>54</v>
      </c>
      <c r="G23" s="9">
        <v>1.2</v>
      </c>
      <c r="H23" s="9">
        <v>0.20835054943332754</v>
      </c>
    </row>
    <row r="24" spans="1:17" x14ac:dyDescent="0.25">
      <c r="A24" s="6" t="s">
        <v>144</v>
      </c>
      <c r="B24" s="6" t="s">
        <v>49</v>
      </c>
      <c r="C24" s="6" t="s">
        <v>50</v>
      </c>
      <c r="D24" s="21">
        <v>200.948649934809</v>
      </c>
      <c r="E24" s="8">
        <v>28000</v>
      </c>
      <c r="F24" s="8">
        <v>54</v>
      </c>
      <c r="G24" s="9">
        <v>1.2</v>
      </c>
      <c r="H24" s="9">
        <v>0.20835054943332754</v>
      </c>
    </row>
    <row r="25" spans="1:17" x14ac:dyDescent="0.25">
      <c r="A25" s="6" t="s">
        <v>134</v>
      </c>
      <c r="B25" s="6" t="s">
        <v>49</v>
      </c>
      <c r="C25" s="6" t="s">
        <v>50</v>
      </c>
      <c r="D25" s="21">
        <f>1935.57823888771/2</f>
        <v>967.78911944385504</v>
      </c>
      <c r="E25" s="8">
        <v>28000</v>
      </c>
      <c r="F25" s="8">
        <v>54</v>
      </c>
      <c r="G25" s="9">
        <v>1.2</v>
      </c>
      <c r="H25" s="9">
        <f t="shared" ref="H25:H39" si="19">(E25+(F25*(D25^G25)))/1000000</f>
        <v>0.23469531932518961</v>
      </c>
    </row>
    <row r="26" spans="1:17" x14ac:dyDescent="0.25">
      <c r="A26" s="6" t="s">
        <v>134</v>
      </c>
      <c r="B26" s="6" t="s">
        <v>49</v>
      </c>
      <c r="C26" s="6" t="s">
        <v>50</v>
      </c>
      <c r="D26" s="21">
        <f>1935.57823888771/2</f>
        <v>967.78911944385504</v>
      </c>
      <c r="E26" s="8">
        <v>28000</v>
      </c>
      <c r="F26" s="8">
        <v>54</v>
      </c>
      <c r="G26" s="9">
        <v>1.2</v>
      </c>
      <c r="H26" s="9">
        <f t="shared" ref="H26" si="20">(E26+(F26*(D26^G26)))/1000000</f>
        <v>0.23469531932518961</v>
      </c>
    </row>
    <row r="27" spans="1:17" x14ac:dyDescent="0.25">
      <c r="A27" s="6" t="s">
        <v>132</v>
      </c>
      <c r="B27" s="6" t="s">
        <v>49</v>
      </c>
      <c r="C27" s="6" t="s">
        <v>50</v>
      </c>
      <c r="D27" s="21">
        <v>120.37541646792199</v>
      </c>
      <c r="E27" s="8">
        <v>28000</v>
      </c>
      <c r="F27" s="8">
        <v>54</v>
      </c>
      <c r="G27" s="9">
        <v>1.2</v>
      </c>
      <c r="H27" s="9">
        <f t="shared" si="19"/>
        <v>4.4944904402731203E-2</v>
      </c>
    </row>
    <row r="28" spans="1:17" x14ac:dyDescent="0.25">
      <c r="A28" s="6" t="s">
        <v>131</v>
      </c>
      <c r="B28" s="6" t="s">
        <v>49</v>
      </c>
      <c r="C28" s="6" t="s">
        <v>50</v>
      </c>
      <c r="D28" s="21">
        <v>104.99955393470201</v>
      </c>
      <c r="E28" s="8">
        <v>28000</v>
      </c>
      <c r="F28" s="8">
        <v>54</v>
      </c>
      <c r="G28" s="9">
        <v>1.2</v>
      </c>
      <c r="H28" s="9">
        <f t="shared" ref="H28:H38" si="21">(E28+(F28*(D28^G28)))/1000000</f>
        <v>4.2381980802788544E-2</v>
      </c>
    </row>
    <row r="29" spans="1:17" x14ac:dyDescent="0.25">
      <c r="A29" s="6" t="s">
        <v>145</v>
      </c>
      <c r="B29" s="6" t="s">
        <v>49</v>
      </c>
      <c r="C29" s="6" t="s">
        <v>50</v>
      </c>
      <c r="D29" s="21">
        <v>446.137865763788</v>
      </c>
      <c r="E29" s="8">
        <v>28000</v>
      </c>
      <c r="F29" s="8">
        <v>54</v>
      </c>
      <c r="G29" s="9">
        <v>1.2</v>
      </c>
      <c r="H29" s="9">
        <f t="shared" si="21"/>
        <v>0.10961249636403229</v>
      </c>
    </row>
    <row r="30" spans="1:17" x14ac:dyDescent="0.25">
      <c r="A30" s="6" t="s">
        <v>146</v>
      </c>
      <c r="B30" s="6" t="s">
        <v>49</v>
      </c>
      <c r="C30" s="6" t="s">
        <v>50</v>
      </c>
      <c r="D30" s="21">
        <f>7692.18386995348/8</f>
        <v>961.52298374418501</v>
      </c>
      <c r="E30" s="8">
        <v>28000</v>
      </c>
      <c r="F30" s="8">
        <v>54</v>
      </c>
      <c r="G30" s="9">
        <v>1.2</v>
      </c>
      <c r="H30" s="9">
        <f t="shared" si="21"/>
        <v>0.23309041488690632</v>
      </c>
    </row>
    <row r="31" spans="1:17" x14ac:dyDescent="0.25">
      <c r="A31" s="6" t="s">
        <v>146</v>
      </c>
      <c r="B31" s="6" t="s">
        <v>49</v>
      </c>
      <c r="C31" s="6" t="s">
        <v>50</v>
      </c>
      <c r="D31" s="21">
        <f t="shared" ref="D31:D37" si="22">7692.18386995348/8</f>
        <v>961.52298374418501</v>
      </c>
      <c r="E31" s="8">
        <v>28000</v>
      </c>
      <c r="F31" s="8">
        <v>54</v>
      </c>
      <c r="G31" s="9">
        <v>1.2</v>
      </c>
      <c r="H31" s="9">
        <f t="shared" ref="H31:H37" si="23">(E31+(F31*(D31^G31)))/1000000</f>
        <v>0.23309041488690632</v>
      </c>
    </row>
    <row r="32" spans="1:17" x14ac:dyDescent="0.25">
      <c r="A32" s="6" t="s">
        <v>146</v>
      </c>
      <c r="B32" s="6" t="s">
        <v>49</v>
      </c>
      <c r="C32" s="6" t="s">
        <v>50</v>
      </c>
      <c r="D32" s="21">
        <f t="shared" si="22"/>
        <v>961.52298374418501</v>
      </c>
      <c r="E32" s="8">
        <v>28000</v>
      </c>
      <c r="F32" s="8">
        <v>54</v>
      </c>
      <c r="G32" s="9">
        <v>1.2</v>
      </c>
      <c r="H32" s="9">
        <f t="shared" si="23"/>
        <v>0.23309041488690632</v>
      </c>
    </row>
    <row r="33" spans="1:15" x14ac:dyDescent="0.25">
      <c r="A33" s="6" t="s">
        <v>146</v>
      </c>
      <c r="B33" s="6" t="s">
        <v>49</v>
      </c>
      <c r="C33" s="6" t="s">
        <v>50</v>
      </c>
      <c r="D33" s="21">
        <f t="shared" si="22"/>
        <v>961.52298374418501</v>
      </c>
      <c r="E33" s="8">
        <v>28000</v>
      </c>
      <c r="F33" s="8">
        <v>54</v>
      </c>
      <c r="G33" s="9">
        <v>1.2</v>
      </c>
      <c r="H33" s="9">
        <f t="shared" si="23"/>
        <v>0.23309041488690632</v>
      </c>
    </row>
    <row r="34" spans="1:15" x14ac:dyDescent="0.25">
      <c r="A34" s="6" t="s">
        <v>146</v>
      </c>
      <c r="B34" s="6" t="s">
        <v>49</v>
      </c>
      <c r="C34" s="6" t="s">
        <v>50</v>
      </c>
      <c r="D34" s="21">
        <f t="shared" si="22"/>
        <v>961.52298374418501</v>
      </c>
      <c r="E34" s="8">
        <v>28000</v>
      </c>
      <c r="F34" s="8">
        <v>54</v>
      </c>
      <c r="G34" s="9">
        <v>1.2</v>
      </c>
      <c r="H34" s="9">
        <f t="shared" si="23"/>
        <v>0.23309041488690632</v>
      </c>
    </row>
    <row r="35" spans="1:15" x14ac:dyDescent="0.25">
      <c r="A35" s="6" t="s">
        <v>146</v>
      </c>
      <c r="B35" s="6" t="s">
        <v>49</v>
      </c>
      <c r="C35" s="6" t="s">
        <v>50</v>
      </c>
      <c r="D35" s="21">
        <f t="shared" si="22"/>
        <v>961.52298374418501</v>
      </c>
      <c r="E35" s="8">
        <v>28000</v>
      </c>
      <c r="F35" s="8">
        <v>54</v>
      </c>
      <c r="G35" s="9">
        <v>1.2</v>
      </c>
      <c r="H35" s="9">
        <f t="shared" si="23"/>
        <v>0.23309041488690632</v>
      </c>
    </row>
    <row r="36" spans="1:15" x14ac:dyDescent="0.25">
      <c r="A36" s="6" t="s">
        <v>146</v>
      </c>
      <c r="B36" s="6" t="s">
        <v>49</v>
      </c>
      <c r="C36" s="6" t="s">
        <v>50</v>
      </c>
      <c r="D36" s="21">
        <f t="shared" si="22"/>
        <v>961.52298374418501</v>
      </c>
      <c r="E36" s="8">
        <v>28000</v>
      </c>
      <c r="F36" s="8">
        <v>54</v>
      </c>
      <c r="G36" s="9">
        <v>1.2</v>
      </c>
      <c r="H36" s="9">
        <f t="shared" si="23"/>
        <v>0.23309041488690632</v>
      </c>
    </row>
    <row r="37" spans="1:15" x14ac:dyDescent="0.25">
      <c r="A37" s="6" t="s">
        <v>146</v>
      </c>
      <c r="B37" s="6" t="s">
        <v>49</v>
      </c>
      <c r="C37" s="6" t="s">
        <v>50</v>
      </c>
      <c r="D37" s="21">
        <f t="shared" si="22"/>
        <v>961.52298374418501</v>
      </c>
      <c r="E37" s="8">
        <v>28000</v>
      </c>
      <c r="F37" s="8">
        <v>54</v>
      </c>
      <c r="G37" s="9">
        <v>1.2</v>
      </c>
      <c r="H37" s="9">
        <f t="shared" si="23"/>
        <v>0.23309041488690632</v>
      </c>
    </row>
    <row r="38" spans="1:15" x14ac:dyDescent="0.25">
      <c r="A38" s="6" t="s">
        <v>147</v>
      </c>
      <c r="B38" s="6" t="s">
        <v>49</v>
      </c>
      <c r="C38" s="6" t="s">
        <v>50</v>
      </c>
      <c r="D38" s="21">
        <v>152.635946271466</v>
      </c>
      <c r="E38" s="8">
        <v>28000</v>
      </c>
      <c r="F38" s="8">
        <v>54</v>
      </c>
      <c r="G38" s="9">
        <v>1.2</v>
      </c>
      <c r="H38" s="9">
        <f t="shared" si="21"/>
        <v>5.0531076802466678E-2</v>
      </c>
    </row>
    <row r="39" spans="1:15" x14ac:dyDescent="0.25">
      <c r="A39" s="6" t="s">
        <v>137</v>
      </c>
      <c r="B39" s="6" t="s">
        <v>49</v>
      </c>
      <c r="C39" s="6" t="s">
        <v>50</v>
      </c>
      <c r="D39" s="21">
        <f>4335.13923558727/5</f>
        <v>867.02784711745403</v>
      </c>
      <c r="E39" s="8">
        <v>28000</v>
      </c>
      <c r="F39" s="8">
        <v>54</v>
      </c>
      <c r="G39" s="9">
        <v>1.2</v>
      </c>
      <c r="H39" s="9">
        <f t="shared" si="19"/>
        <v>0.20914794658252678</v>
      </c>
      <c r="O39" s="44"/>
    </row>
    <row r="40" spans="1:15" x14ac:dyDescent="0.25">
      <c r="A40" s="6" t="s">
        <v>137</v>
      </c>
      <c r="B40" s="6" t="s">
        <v>49</v>
      </c>
      <c r="C40" s="6" t="s">
        <v>50</v>
      </c>
      <c r="D40" s="21">
        <f t="shared" ref="D40:D43" si="24">4335.13923558727/5</f>
        <v>867.02784711745403</v>
      </c>
      <c r="E40" s="8">
        <v>28000</v>
      </c>
      <c r="F40" s="8">
        <v>54</v>
      </c>
      <c r="G40" s="9">
        <v>1.2</v>
      </c>
      <c r="H40" s="9">
        <f t="shared" ref="H40:H43" si="25">(E40+(F40*(D40^G40)))/1000000</f>
        <v>0.20914794658252678</v>
      </c>
    </row>
    <row r="41" spans="1:15" x14ac:dyDescent="0.25">
      <c r="A41" s="6" t="s">
        <v>137</v>
      </c>
      <c r="B41" s="6" t="s">
        <v>49</v>
      </c>
      <c r="C41" s="6" t="s">
        <v>50</v>
      </c>
      <c r="D41" s="21">
        <f t="shared" si="24"/>
        <v>867.02784711745403</v>
      </c>
      <c r="E41" s="8">
        <v>28000</v>
      </c>
      <c r="F41" s="8">
        <v>54</v>
      </c>
      <c r="G41" s="9">
        <v>1.2</v>
      </c>
      <c r="H41" s="9">
        <f t="shared" si="25"/>
        <v>0.20914794658252678</v>
      </c>
    </row>
    <row r="42" spans="1:15" x14ac:dyDescent="0.25">
      <c r="A42" s="6" t="s">
        <v>137</v>
      </c>
      <c r="B42" s="6" t="s">
        <v>49</v>
      </c>
      <c r="C42" s="6" t="s">
        <v>50</v>
      </c>
      <c r="D42" s="21">
        <f t="shared" si="24"/>
        <v>867.02784711745403</v>
      </c>
      <c r="E42" s="8">
        <v>28000</v>
      </c>
      <c r="F42" s="8">
        <v>54</v>
      </c>
      <c r="G42" s="9">
        <v>1.2</v>
      </c>
      <c r="H42" s="9">
        <f t="shared" si="25"/>
        <v>0.20914794658252678</v>
      </c>
    </row>
    <row r="43" spans="1:15" x14ac:dyDescent="0.25">
      <c r="A43" s="6" t="s">
        <v>137</v>
      </c>
      <c r="B43" s="6" t="s">
        <v>49</v>
      </c>
      <c r="C43" s="6" t="s">
        <v>50</v>
      </c>
      <c r="D43" s="21">
        <f t="shared" si="24"/>
        <v>867.02784711745403</v>
      </c>
      <c r="E43" s="8">
        <v>28000</v>
      </c>
      <c r="F43" s="8">
        <v>54</v>
      </c>
      <c r="G43" s="9">
        <v>1.2</v>
      </c>
      <c r="H43" s="9">
        <f t="shared" si="25"/>
        <v>0.20914794658252678</v>
      </c>
    </row>
    <row r="44" spans="1:15" x14ac:dyDescent="0.25">
      <c r="A44" s="6" t="s">
        <v>130</v>
      </c>
      <c r="B44" s="6" t="s">
        <v>49</v>
      </c>
      <c r="C44" s="6" t="s">
        <v>50</v>
      </c>
      <c r="D44" s="21">
        <f>1157.88681669581/2</f>
        <v>578.94340834790501</v>
      </c>
      <c r="E44" s="8">
        <v>28000</v>
      </c>
      <c r="F44" s="8">
        <v>54</v>
      </c>
      <c r="G44" s="9">
        <v>1.2</v>
      </c>
      <c r="H44" s="9">
        <f t="shared" ref="H44" si="26">(E44+(F44*(D44^G44)))/1000000</f>
        <v>0.13957248245278045</v>
      </c>
    </row>
    <row r="45" spans="1:15" x14ac:dyDescent="0.25">
      <c r="A45" s="6" t="s">
        <v>130</v>
      </c>
      <c r="B45" s="6" t="s">
        <v>49</v>
      </c>
      <c r="C45" s="6" t="s">
        <v>50</v>
      </c>
      <c r="D45" s="21">
        <f>1157.88681669581/2</f>
        <v>578.94340834790501</v>
      </c>
      <c r="E45" s="8">
        <v>28000</v>
      </c>
      <c r="F45" s="8">
        <v>54</v>
      </c>
      <c r="G45" s="9">
        <v>1.2</v>
      </c>
      <c r="H45" s="9">
        <f t="shared" ref="H45" si="27">(E45+(F45*(D45^G45)))/1000000</f>
        <v>0.13957248245278045</v>
      </c>
    </row>
    <row r="46" spans="1:15" x14ac:dyDescent="0.25">
      <c r="A46" s="6" t="s">
        <v>135</v>
      </c>
      <c r="B46" s="6" t="s">
        <v>49</v>
      </c>
      <c r="C46" s="6" t="s">
        <v>50</v>
      </c>
      <c r="D46" s="21">
        <v>2.85969720818035</v>
      </c>
      <c r="E46" s="8">
        <v>28000</v>
      </c>
      <c r="F46" s="8">
        <v>54</v>
      </c>
      <c r="G46" s="9">
        <v>1.2</v>
      </c>
      <c r="H46" s="9">
        <f t="shared" si="18"/>
        <v>2.8190536341255429E-2</v>
      </c>
    </row>
    <row r="47" spans="1:15" x14ac:dyDescent="0.25">
      <c r="A47" s="6" t="s">
        <v>129</v>
      </c>
      <c r="B47" s="6" t="s">
        <v>49</v>
      </c>
      <c r="C47" s="6" t="s">
        <v>50</v>
      </c>
      <c r="D47" s="21">
        <f>1856.31068301201/2</f>
        <v>928.15534150600502</v>
      </c>
      <c r="E47" s="8">
        <v>28000</v>
      </c>
      <c r="F47" s="8">
        <v>54</v>
      </c>
      <c r="G47" s="9">
        <v>1.2</v>
      </c>
      <c r="H47" s="9">
        <f t="shared" ref="H47" si="28">(E47+(F47*(D47^G47)))/1000000</f>
        <v>0.22457965197775387</v>
      </c>
    </row>
    <row r="48" spans="1:15" x14ac:dyDescent="0.25">
      <c r="A48" s="6" t="s">
        <v>129</v>
      </c>
      <c r="B48" s="6" t="s">
        <v>49</v>
      </c>
      <c r="C48" s="6" t="s">
        <v>50</v>
      </c>
      <c r="D48" s="21">
        <f>1856.31068301201/2</f>
        <v>928.15534150600502</v>
      </c>
      <c r="E48" s="8">
        <v>28000</v>
      </c>
      <c r="F48" s="8">
        <v>54</v>
      </c>
      <c r="G48" s="9">
        <v>1.2</v>
      </c>
      <c r="H48" s="9">
        <f t="shared" ref="H48" si="29">(E48+(F48*(D48^G48)))/1000000</f>
        <v>0.22457965197775387</v>
      </c>
    </row>
    <row r="49" spans="1:8" x14ac:dyDescent="0.25">
      <c r="A49" s="6" t="s">
        <v>148</v>
      </c>
      <c r="B49" s="6" t="s">
        <v>49</v>
      </c>
      <c r="C49" s="6" t="s">
        <v>50</v>
      </c>
      <c r="D49" s="21">
        <v>588.33168032563196</v>
      </c>
      <c r="E49" s="8">
        <v>28000</v>
      </c>
      <c r="F49" s="8">
        <v>54</v>
      </c>
      <c r="G49" s="9">
        <v>1.2</v>
      </c>
      <c r="H49" s="9">
        <f t="shared" ref="H49" si="30">(E49+(F49*(D49^G49)))/1000000</f>
        <v>0.14174712841882789</v>
      </c>
    </row>
    <row r="50" spans="1:8" x14ac:dyDescent="0.25">
      <c r="A50" s="6" t="s">
        <v>149</v>
      </c>
      <c r="B50" s="6" t="s">
        <v>49</v>
      </c>
      <c r="C50" s="6" t="s">
        <v>50</v>
      </c>
      <c r="D50" s="21">
        <v>330.45310546905603</v>
      </c>
      <c r="E50" s="8">
        <v>28000</v>
      </c>
      <c r="F50" s="8">
        <v>54</v>
      </c>
      <c r="G50" s="9">
        <v>1.2</v>
      </c>
      <c r="H50" s="9">
        <f t="shared" si="18"/>
        <v>8.4927952612137814E-2</v>
      </c>
    </row>
    <row r="51" spans="1:8" x14ac:dyDescent="0.25">
      <c r="A51" s="6" t="s">
        <v>127</v>
      </c>
      <c r="B51" s="6" t="s">
        <v>49</v>
      </c>
      <c r="C51" s="6" t="s">
        <v>50</v>
      </c>
      <c r="D51" s="21">
        <v>97.207998697260393</v>
      </c>
      <c r="E51" s="8">
        <v>28000</v>
      </c>
      <c r="F51" s="8">
        <v>54</v>
      </c>
      <c r="G51" s="9">
        <v>1.2</v>
      </c>
      <c r="H51" s="9">
        <f t="shared" ref="H51" si="31">(E51+(F51*(D51^G51)))/1000000</f>
        <v>4.1111010411587739E-2</v>
      </c>
    </row>
    <row r="52" spans="1:8" x14ac:dyDescent="0.25">
      <c r="A52" s="6" t="s">
        <v>128</v>
      </c>
      <c r="B52" s="6" t="s">
        <v>49</v>
      </c>
      <c r="C52" s="6" t="s">
        <v>50</v>
      </c>
      <c r="D52" s="21">
        <v>652.97919092634595</v>
      </c>
      <c r="E52" s="8">
        <v>28000</v>
      </c>
      <c r="F52" s="8">
        <v>54</v>
      </c>
      <c r="G52" s="9">
        <v>1.2</v>
      </c>
      <c r="H52" s="9">
        <f t="shared" ref="H52:H53" si="32">(E52+(F52*(D52^G52)))/1000000</f>
        <v>0.15690595169550756</v>
      </c>
    </row>
    <row r="53" spans="1:8" x14ac:dyDescent="0.25">
      <c r="A53" s="6" t="s">
        <v>133</v>
      </c>
      <c r="B53" s="6" t="s">
        <v>49</v>
      </c>
      <c r="C53" s="6" t="s">
        <v>50</v>
      </c>
      <c r="D53" s="21">
        <v>1.7333814159457301E-2</v>
      </c>
      <c r="E53" s="8">
        <v>28000</v>
      </c>
      <c r="F53" s="8">
        <v>54</v>
      </c>
      <c r="G53" s="9">
        <v>1.2</v>
      </c>
      <c r="H53" s="9">
        <f t="shared" si="32"/>
        <v>2.8000415974514085E-2</v>
      </c>
    </row>
    <row r="54" spans="1:8" x14ac:dyDescent="0.25">
      <c r="A54" s="49" t="s">
        <v>51</v>
      </c>
      <c r="B54" s="50"/>
      <c r="C54" s="50"/>
      <c r="D54" s="50"/>
      <c r="E54" s="50"/>
      <c r="F54" s="50"/>
      <c r="G54" s="50"/>
      <c r="H54" s="51"/>
    </row>
    <row r="55" spans="1:8" x14ac:dyDescent="0.25">
      <c r="A55" s="7" t="s">
        <v>91</v>
      </c>
      <c r="B55" s="6" t="s">
        <v>90</v>
      </c>
      <c r="C55" s="6" t="s">
        <v>52</v>
      </c>
      <c r="D55" s="9">
        <f>Q16</f>
        <v>10421.910786159247</v>
      </c>
      <c r="E55" s="8">
        <v>17400</v>
      </c>
      <c r="F55" s="8">
        <v>79</v>
      </c>
      <c r="G55" s="9">
        <v>0.85</v>
      </c>
      <c r="H55" s="9">
        <f>(E55+(F55*(D55^G55)))/1000000</f>
        <v>0.22293336841675773</v>
      </c>
    </row>
    <row r="56" spans="1:8" x14ac:dyDescent="0.25">
      <c r="A56" s="7" t="s">
        <v>91</v>
      </c>
      <c r="B56" s="6" t="s">
        <v>90</v>
      </c>
      <c r="C56" s="6" t="s">
        <v>52</v>
      </c>
      <c r="D56" s="9">
        <f t="shared" ref="D56:D57" si="33">Q17</f>
        <v>10421.910786159247</v>
      </c>
      <c r="E56" s="8">
        <v>17400</v>
      </c>
      <c r="F56" s="8">
        <v>79</v>
      </c>
      <c r="G56" s="9">
        <v>0.85</v>
      </c>
      <c r="H56" s="9">
        <f t="shared" ref="H56:H57" si="34">(E56+(F56*(D56^G56)))/1000000</f>
        <v>0.22293336841675773</v>
      </c>
    </row>
    <row r="57" spans="1:8" x14ac:dyDescent="0.25">
      <c r="A57" s="7" t="s">
        <v>91</v>
      </c>
      <c r="B57" s="6" t="s">
        <v>90</v>
      </c>
      <c r="C57" s="6" t="s">
        <v>52</v>
      </c>
      <c r="D57" s="9">
        <f t="shared" si="33"/>
        <v>9407.8285955558422</v>
      </c>
      <c r="E57" s="8">
        <v>17400</v>
      </c>
      <c r="F57" s="8">
        <v>79</v>
      </c>
      <c r="G57" s="9">
        <v>0.85</v>
      </c>
      <c r="H57" s="9">
        <f t="shared" si="34"/>
        <v>0.20580528368819698</v>
      </c>
    </row>
    <row r="58" spans="1:8" x14ac:dyDescent="0.25">
      <c r="A58" s="46" t="s">
        <v>92</v>
      </c>
      <c r="B58" s="47"/>
      <c r="C58" s="47"/>
      <c r="D58" s="47"/>
      <c r="E58" s="47"/>
      <c r="F58" s="47"/>
      <c r="G58" s="47"/>
      <c r="H58" s="48"/>
    </row>
    <row r="59" spans="1:8" x14ac:dyDescent="0.25">
      <c r="A59" s="6" t="s">
        <v>46</v>
      </c>
      <c r="B59" s="6" t="s">
        <v>90</v>
      </c>
      <c r="C59" s="6" t="s">
        <v>52</v>
      </c>
      <c r="D59" s="9">
        <f>Q13</f>
        <v>10421.910786159247</v>
      </c>
      <c r="E59" s="8">
        <v>17400</v>
      </c>
      <c r="F59" s="8">
        <v>79</v>
      </c>
      <c r="G59" s="9">
        <v>0.85</v>
      </c>
      <c r="H59" s="9">
        <f>(E59+(F59*(D59^G59)))/1000000</f>
        <v>0.22293336841675773</v>
      </c>
    </row>
    <row r="60" spans="1:8" x14ac:dyDescent="0.25">
      <c r="A60" s="6" t="s">
        <v>46</v>
      </c>
      <c r="B60" s="6" t="s">
        <v>90</v>
      </c>
      <c r="C60" s="6" t="s">
        <v>52</v>
      </c>
      <c r="D60" s="9">
        <f t="shared" ref="D60:D61" si="35">Q14</f>
        <v>10421.910786159247</v>
      </c>
      <c r="E60" s="8">
        <v>17400</v>
      </c>
      <c r="F60" s="8">
        <v>79</v>
      </c>
      <c r="G60" s="9">
        <v>0.85</v>
      </c>
      <c r="H60" s="9">
        <f t="shared" ref="H60:H61" si="36">(E60+(F60*(D60^G60)))/1000000</f>
        <v>0.22293336841675773</v>
      </c>
    </row>
    <row r="61" spans="1:8" x14ac:dyDescent="0.25">
      <c r="A61" s="6" t="s">
        <v>46</v>
      </c>
      <c r="B61" s="6" t="s">
        <v>90</v>
      </c>
      <c r="C61" s="6" t="s">
        <v>52</v>
      </c>
      <c r="D61" s="9">
        <f t="shared" si="35"/>
        <v>9407.8285955558422</v>
      </c>
      <c r="E61" s="8">
        <v>17400</v>
      </c>
      <c r="F61" s="8">
        <v>79</v>
      </c>
      <c r="G61" s="9">
        <v>0.85</v>
      </c>
      <c r="H61" s="9">
        <f t="shared" si="36"/>
        <v>0.20580528368819698</v>
      </c>
    </row>
    <row r="62" spans="1:8" x14ac:dyDescent="0.25">
      <c r="H62" s="38">
        <f>SUM(H14:H61)</f>
        <v>13.695831994527682</v>
      </c>
    </row>
    <row r="63" spans="1:8" x14ac:dyDescent="0.25">
      <c r="A63" s="24" t="s">
        <v>34</v>
      </c>
      <c r="B63" s="21">
        <v>532.9</v>
      </c>
    </row>
    <row r="64" spans="1:8" x14ac:dyDescent="0.25">
      <c r="A64" s="24" t="s">
        <v>35</v>
      </c>
      <c r="B64" s="21">
        <v>607.5</v>
      </c>
    </row>
    <row r="65" spans="1:4" x14ac:dyDescent="0.25">
      <c r="A65" s="24" t="s">
        <v>93</v>
      </c>
      <c r="B65" s="21">
        <v>816</v>
      </c>
    </row>
    <row r="66" spans="1:4" x14ac:dyDescent="0.25">
      <c r="A66" s="24" t="s">
        <v>53</v>
      </c>
      <c r="B66" s="21">
        <f>H62*B64/B63</f>
        <v>15.613094270361357</v>
      </c>
    </row>
    <row r="67" spans="1:4" x14ac:dyDescent="0.25">
      <c r="A67" s="24" t="s">
        <v>94</v>
      </c>
      <c r="B67" s="21">
        <f>H62*B65/B63</f>
        <v>20.971662427349575</v>
      </c>
    </row>
    <row r="68" spans="1:4" x14ac:dyDescent="0.25">
      <c r="A68" s="39"/>
      <c r="B68" s="32"/>
    </row>
    <row r="69" spans="1:4" x14ac:dyDescent="0.25">
      <c r="B69" s="36">
        <v>2019</v>
      </c>
      <c r="C69" s="36">
        <v>2022</v>
      </c>
    </row>
    <row r="70" spans="1:4" x14ac:dyDescent="0.25">
      <c r="A70" s="26" t="s">
        <v>54</v>
      </c>
      <c r="B70" s="40">
        <f>(B66)*((1+C3)+(C2+C5+C4+C6+C7+C8)/C9)*C9</f>
        <v>58.392972571151482</v>
      </c>
      <c r="C70" s="40">
        <f>(B67)*((1+C3)+(C2+C5+C4+C6+C7+C8)/C9)*C9</f>
        <v>78.434017478287416</v>
      </c>
    </row>
    <row r="71" spans="1:4" x14ac:dyDescent="0.25">
      <c r="A71" s="26" t="s">
        <v>55</v>
      </c>
      <c r="B71" s="40">
        <f>0.3*B70</f>
        <v>17.517891771345443</v>
      </c>
      <c r="C71" s="40">
        <f>0.3*C70</f>
        <v>23.530205243486225</v>
      </c>
    </row>
    <row r="72" spans="1:4" x14ac:dyDescent="0.25">
      <c r="A72" s="26" t="s">
        <v>56</v>
      </c>
      <c r="B72" s="40">
        <f>0.3*SUM(B70:B71)</f>
        <v>22.773259302749075</v>
      </c>
      <c r="C72" s="40">
        <f>0.3*SUM(C70:C71)</f>
        <v>30.589266816532088</v>
      </c>
      <c r="D72"/>
    </row>
    <row r="73" spans="1:4" x14ac:dyDescent="0.25">
      <c r="A73" s="26" t="s">
        <v>57</v>
      </c>
      <c r="B73" s="40">
        <f>0.1*SUM(B70:B71)</f>
        <v>7.5910864342496929</v>
      </c>
      <c r="C73" s="40">
        <f>0.1*SUM(C70:C71)</f>
        <v>10.196422272177365</v>
      </c>
      <c r="D73"/>
    </row>
    <row r="74" spans="1:4" x14ac:dyDescent="0.25">
      <c r="A74" s="26" t="s">
        <v>58</v>
      </c>
      <c r="B74" s="40">
        <f>B70*(1+0.3)*(1+0.3+0.1)</f>
        <v>106.27521007949572</v>
      </c>
      <c r="C74" s="40">
        <f>C70*(1+0.3)*(1+0.3+0.1)</f>
        <v>142.7499118104831</v>
      </c>
      <c r="D74"/>
    </row>
    <row r="75" spans="1:4" x14ac:dyDescent="0.25">
      <c r="A75" s="26" t="s">
        <v>61</v>
      </c>
      <c r="B75" s="40">
        <f>B74*0.15</f>
        <v>15.941281511924357</v>
      </c>
      <c r="C75" s="40">
        <f>C74*0.15</f>
        <v>21.412486771572464</v>
      </c>
      <c r="D75"/>
    </row>
    <row r="76" spans="1:4" x14ac:dyDescent="0.25">
      <c r="A76" s="26" t="s">
        <v>59</v>
      </c>
      <c r="B76" s="40">
        <f>B74+B75</f>
        <v>122.21649159142008</v>
      </c>
      <c r="C76" s="40">
        <f>C74+C75</f>
        <v>164.16239858205557</v>
      </c>
      <c r="D76"/>
    </row>
    <row r="77" spans="1:4" x14ac:dyDescent="0.25">
      <c r="A77" s="26" t="s">
        <v>26</v>
      </c>
      <c r="B77" s="40">
        <v>25</v>
      </c>
      <c r="C77" s="40">
        <v>25</v>
      </c>
    </row>
    <row r="78" spans="1:4" x14ac:dyDescent="0.25">
      <c r="A78" s="26" t="s">
        <v>27</v>
      </c>
      <c r="B78" s="40">
        <v>0.12</v>
      </c>
      <c r="C78" s="40">
        <v>0.12</v>
      </c>
    </row>
    <row r="79" spans="1:4" x14ac:dyDescent="0.25">
      <c r="A79" s="26" t="s">
        <v>28</v>
      </c>
      <c r="B79" s="40">
        <f>(B78*((1+B78)^B77))/(((1+B78)^B77)-1)</f>
        <v>0.12749996980950773</v>
      </c>
      <c r="C79" s="40">
        <f>(C78*((1+C78)^C77))/(((1+C78)^C77)-1)</f>
        <v>0.12749996980950773</v>
      </c>
    </row>
    <row r="80" spans="1:4" x14ac:dyDescent="0.25">
      <c r="A80" s="26" t="s">
        <v>60</v>
      </c>
      <c r="B80" s="40">
        <f>B79*B76</f>
        <v>15.582598988130016</v>
      </c>
      <c r="C80" s="40">
        <f>C79*C76</f>
        <v>20.930700863068459</v>
      </c>
    </row>
    <row r="81" spans="1:3" ht="15.75" customHeight="1" x14ac:dyDescent="0.25">
      <c r="A81" s="25" t="s">
        <v>36</v>
      </c>
      <c r="B81" s="19">
        <f>B80</f>
        <v>15.582598988130016</v>
      </c>
      <c r="C81" s="19">
        <f>C80</f>
        <v>20.930700863068459</v>
      </c>
    </row>
    <row r="84" spans="1:3" ht="15.75" customHeight="1" x14ac:dyDescent="0.25"/>
    <row r="85" spans="1:3" ht="15.75" customHeight="1" x14ac:dyDescent="0.25"/>
    <row r="86" spans="1:3" ht="15.75" customHeight="1" x14ac:dyDescent="0.25"/>
    <row r="87" spans="1:3" ht="15.75" customHeight="1" x14ac:dyDescent="0.25"/>
    <row r="88" spans="1:3" ht="15.75" customHeight="1" x14ac:dyDescent="0.25"/>
    <row r="89" spans="1:3" ht="15.75" customHeight="1" x14ac:dyDescent="0.25"/>
    <row r="90" spans="1:3" ht="15.75" customHeight="1" x14ac:dyDescent="0.25"/>
    <row r="91" spans="1:3" ht="15.75" customHeight="1" x14ac:dyDescent="0.25"/>
    <row r="92" spans="1:3" ht="15.75" customHeight="1" x14ac:dyDescent="0.25"/>
    <row r="93" spans="1:3" ht="15.75" customHeight="1" x14ac:dyDescent="0.25"/>
    <row r="94" spans="1:3" ht="15.75" customHeight="1" x14ac:dyDescent="0.25"/>
    <row r="95" spans="1:3" ht="15.75" customHeight="1" x14ac:dyDescent="0.25"/>
    <row r="96" spans="1:3" ht="15.75" customHeight="1" x14ac:dyDescent="0.25"/>
    <row r="97" ht="15.75" customHeight="1" x14ac:dyDescent="0.25"/>
    <row r="98" ht="15.75" customHeight="1" x14ac:dyDescent="0.25"/>
  </sheetData>
  <mergeCells count="5">
    <mergeCell ref="A20:H20"/>
    <mergeCell ref="A54:H54"/>
    <mergeCell ref="A58:H58"/>
    <mergeCell ref="A13:H13"/>
    <mergeCell ref="A18:H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20"/>
  <sheetViews>
    <sheetView zoomScale="115" zoomScaleNormal="115" workbookViewId="0">
      <selection activeCell="A17" sqref="A17:C17"/>
    </sheetView>
  </sheetViews>
  <sheetFormatPr defaultRowHeight="15" x14ac:dyDescent="0.25"/>
  <cols>
    <col min="1" max="1" width="15.28515625" bestFit="1" customWidth="1"/>
    <col min="2" max="2" width="34.42578125" customWidth="1"/>
    <col min="3" max="3" width="8.5703125" bestFit="1" customWidth="1"/>
    <col min="5" max="5" width="15.28515625" customWidth="1"/>
    <col min="6" max="6" width="30.42578125" bestFit="1" customWidth="1"/>
    <col min="7" max="7" width="8.5703125" bestFit="1" customWidth="1"/>
  </cols>
  <sheetData>
    <row r="3" spans="1:7" x14ac:dyDescent="0.25">
      <c r="A3" s="52">
        <v>2019</v>
      </c>
      <c r="B3" s="52"/>
      <c r="C3" s="52"/>
      <c r="E3" s="52">
        <v>2022</v>
      </c>
      <c r="F3" s="52"/>
      <c r="G3" s="52"/>
    </row>
    <row r="4" spans="1:7" x14ac:dyDescent="0.25">
      <c r="A4" s="4" t="s">
        <v>65</v>
      </c>
      <c r="B4" s="4" t="s">
        <v>66</v>
      </c>
      <c r="C4" s="13" t="s">
        <v>37</v>
      </c>
      <c r="E4" s="36" t="s">
        <v>65</v>
      </c>
      <c r="F4" s="36" t="s">
        <v>66</v>
      </c>
      <c r="G4" s="13" t="s">
        <v>37</v>
      </c>
    </row>
    <row r="5" spans="1:7" x14ac:dyDescent="0.25">
      <c r="A5" s="52" t="s">
        <v>81</v>
      </c>
      <c r="B5" s="52"/>
      <c r="C5" s="52"/>
      <c r="E5" s="52" t="s">
        <v>81</v>
      </c>
      <c r="F5" s="52"/>
      <c r="G5" s="52"/>
    </row>
    <row r="6" spans="1:7" x14ac:dyDescent="0.25">
      <c r="A6" s="10" t="s">
        <v>73</v>
      </c>
      <c r="B6" s="10" t="s">
        <v>84</v>
      </c>
      <c r="C6" s="10">
        <f>50000*9*9/1000000</f>
        <v>4.05</v>
      </c>
      <c r="E6" s="10" t="s">
        <v>73</v>
      </c>
      <c r="F6" s="10" t="s">
        <v>84</v>
      </c>
      <c r="G6" s="10">
        <f>50000*9*9/1000000</f>
        <v>4.05</v>
      </c>
    </row>
    <row r="7" spans="1:7" x14ac:dyDescent="0.25">
      <c r="A7" s="10" t="s">
        <v>63</v>
      </c>
      <c r="B7" s="10" t="s">
        <v>64</v>
      </c>
      <c r="C7" s="21">
        <f>0.25*C6</f>
        <v>1.0125</v>
      </c>
      <c r="E7" s="10" t="s">
        <v>63</v>
      </c>
      <c r="F7" s="10" t="s">
        <v>64</v>
      </c>
      <c r="G7" s="21">
        <f>0.25*G6</f>
        <v>1.0125</v>
      </c>
    </row>
    <row r="8" spans="1:7" x14ac:dyDescent="0.25">
      <c r="A8" s="10" t="s">
        <v>67</v>
      </c>
      <c r="B8" s="10" t="s">
        <v>68</v>
      </c>
      <c r="C8" s="21">
        <f>0.45*(C6+C7)</f>
        <v>2.2781250000000002</v>
      </c>
      <c r="E8" s="10" t="s">
        <v>67</v>
      </c>
      <c r="F8" s="10" t="s">
        <v>68</v>
      </c>
      <c r="G8" s="21">
        <f>0.45*(G6+G7)</f>
        <v>2.2781250000000002</v>
      </c>
    </row>
    <row r="9" spans="1:7" x14ac:dyDescent="0.25">
      <c r="A9" s="46"/>
      <c r="B9" s="48"/>
      <c r="C9" s="17">
        <f>SUM(C6:C8)</f>
        <v>7.3406250000000002</v>
      </c>
      <c r="E9" s="46"/>
      <c r="F9" s="48"/>
      <c r="G9" s="17">
        <f>SUM(G6:G8)</f>
        <v>7.3406250000000002</v>
      </c>
    </row>
    <row r="10" spans="1:7" x14ac:dyDescent="0.25">
      <c r="A10" s="52" t="s">
        <v>82</v>
      </c>
      <c r="B10" s="52"/>
      <c r="C10" s="52"/>
      <c r="E10" s="52" t="s">
        <v>82</v>
      </c>
      <c r="F10" s="52"/>
      <c r="G10" s="52"/>
    </row>
    <row r="11" spans="1:7" x14ac:dyDescent="0.25">
      <c r="A11" s="10" t="s">
        <v>69</v>
      </c>
      <c r="B11" s="10" t="s">
        <v>70</v>
      </c>
      <c r="C11" s="23">
        <f>0.03*CAPEX!B70</f>
        <v>1.7517891771345444</v>
      </c>
      <c r="E11" s="10" t="s">
        <v>69</v>
      </c>
      <c r="F11" s="10" t="s">
        <v>70</v>
      </c>
      <c r="G11" s="23">
        <f>0.03*CAPEX!C70</f>
        <v>2.3530205243486222</v>
      </c>
    </row>
    <row r="12" spans="1:7" x14ac:dyDescent="0.25">
      <c r="A12" s="52"/>
      <c r="B12" s="52"/>
      <c r="C12" s="29">
        <f>C11</f>
        <v>1.7517891771345444</v>
      </c>
      <c r="E12" s="52"/>
      <c r="F12" s="52"/>
      <c r="G12" s="29">
        <f>G11</f>
        <v>2.3530205243486222</v>
      </c>
    </row>
    <row r="13" spans="1:7" x14ac:dyDescent="0.25">
      <c r="A13" s="46" t="s">
        <v>71</v>
      </c>
      <c r="B13" s="47"/>
      <c r="C13" s="48"/>
      <c r="E13" s="46" t="s">
        <v>71</v>
      </c>
      <c r="F13" s="47"/>
      <c r="G13" s="48"/>
    </row>
    <row r="14" spans="1:7" x14ac:dyDescent="0.25">
      <c r="A14" s="10" t="s">
        <v>72</v>
      </c>
      <c r="B14" s="10" t="s">
        <v>74</v>
      </c>
      <c r="C14" s="21">
        <f>0.65*(C6+C7+C8+C11)</f>
        <v>5.9100692151374545</v>
      </c>
      <c r="E14" s="10" t="s">
        <v>72</v>
      </c>
      <c r="F14" s="10" t="s">
        <v>74</v>
      </c>
      <c r="G14" s="21">
        <f>0.65*(G6+G7+G8+G11)</f>
        <v>6.3008695908266041</v>
      </c>
    </row>
    <row r="15" spans="1:7" x14ac:dyDescent="0.25">
      <c r="A15" s="10" t="s">
        <v>75</v>
      </c>
      <c r="B15" s="10" t="s">
        <v>77</v>
      </c>
      <c r="C15" s="21">
        <f>0.02*(CAPEX!B70+CAPEX!B71)</f>
        <v>1.5182172868499384</v>
      </c>
      <c r="E15" s="10" t="s">
        <v>75</v>
      </c>
      <c r="F15" s="10" t="s">
        <v>77</v>
      </c>
      <c r="G15" s="21">
        <f>0.02*(CAPEX!C70+CAPEX!C71)</f>
        <v>2.0392844544354727</v>
      </c>
    </row>
    <row r="16" spans="1:7" x14ac:dyDescent="0.25">
      <c r="A16" s="52"/>
      <c r="B16" s="52"/>
      <c r="C16" s="29">
        <f>SUM(C14:C15)</f>
        <v>7.4282865019873929</v>
      </c>
      <c r="E16" s="52"/>
      <c r="F16" s="52"/>
      <c r="G16" s="29">
        <f>SUM(G14:G15)</f>
        <v>8.3401540452620768</v>
      </c>
    </row>
    <row r="17" spans="1:7" x14ac:dyDescent="0.25">
      <c r="A17" s="46" t="s">
        <v>78</v>
      </c>
      <c r="B17" s="47"/>
      <c r="C17" s="48"/>
      <c r="E17" s="46" t="s">
        <v>78</v>
      </c>
      <c r="F17" s="47"/>
      <c r="G17" s="48"/>
    </row>
    <row r="18" spans="1:7" x14ac:dyDescent="0.25">
      <c r="A18" s="10" t="s">
        <v>79</v>
      </c>
      <c r="B18" s="10" t="s">
        <v>80</v>
      </c>
      <c r="C18" s="23">
        <f>0.06*CAPEX!B75</f>
        <v>0.95647689071546138</v>
      </c>
      <c r="E18" s="10" t="s">
        <v>79</v>
      </c>
      <c r="F18" s="10" t="s">
        <v>80</v>
      </c>
      <c r="G18" s="23">
        <f>0.06*CAPEX!C75</f>
        <v>1.2847492062943477</v>
      </c>
    </row>
    <row r="19" spans="1:7" x14ac:dyDescent="0.25">
      <c r="A19" s="52"/>
      <c r="B19" s="52"/>
      <c r="C19" s="17">
        <f>C18</f>
        <v>0.95647689071546138</v>
      </c>
      <c r="E19" s="52"/>
      <c r="F19" s="52"/>
      <c r="G19" s="17">
        <f>G18</f>
        <v>1.2847492062943477</v>
      </c>
    </row>
    <row r="20" spans="1:7" x14ac:dyDescent="0.25">
      <c r="A20" s="46" t="s">
        <v>83</v>
      </c>
      <c r="B20" s="48"/>
      <c r="C20" s="17">
        <f>C9+C12+C16+C19</f>
        <v>17.477177569837398</v>
      </c>
      <c r="E20" s="46" t="s">
        <v>83</v>
      </c>
      <c r="F20" s="48"/>
      <c r="G20" s="17">
        <f>G9+G12+G16+G19</f>
        <v>19.318548775905047</v>
      </c>
    </row>
  </sheetData>
  <mergeCells count="20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  <mergeCell ref="A3:C3"/>
    <mergeCell ref="E3:G3"/>
    <mergeCell ref="E5:G5"/>
    <mergeCell ref="E9:F9"/>
    <mergeCell ref="E10:G10"/>
    <mergeCell ref="E20:F20"/>
    <mergeCell ref="E12:F12"/>
    <mergeCell ref="E13:G13"/>
    <mergeCell ref="E16:F16"/>
    <mergeCell ref="E17:G17"/>
    <mergeCell ref="E19:F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7"/>
  <sheetViews>
    <sheetView tabSelected="1" zoomScale="160" zoomScaleNormal="160" workbookViewId="0">
      <selection activeCell="K15" sqref="K15"/>
    </sheetView>
  </sheetViews>
  <sheetFormatPr defaultColWidth="8.85546875" defaultRowHeight="15" x14ac:dyDescent="0.25"/>
  <cols>
    <col min="1" max="1" width="8.85546875" style="11"/>
    <col min="2" max="2" width="19.85546875" style="11" bestFit="1" customWidth="1"/>
    <col min="3" max="3" width="8.28515625" style="11" bestFit="1" customWidth="1"/>
    <col min="4" max="4" width="8.5703125" style="11" bestFit="1" customWidth="1"/>
    <col min="5" max="6" width="16.7109375" style="11" bestFit="1" customWidth="1"/>
    <col min="7" max="7" width="9.7109375" style="11" bestFit="1" customWidth="1"/>
    <col min="8" max="8" width="9.28515625" style="11" customWidth="1"/>
    <col min="9" max="16384" width="8.85546875" style="11"/>
  </cols>
  <sheetData>
    <row r="2" spans="2:11" x14ac:dyDescent="0.25">
      <c r="B2" s="1"/>
    </row>
    <row r="3" spans="2:11" x14ac:dyDescent="0.25">
      <c r="B3" s="13" t="s">
        <v>23</v>
      </c>
      <c r="C3" s="13" t="s">
        <v>29</v>
      </c>
      <c r="D3" s="13" t="s">
        <v>30</v>
      </c>
      <c r="E3" s="13" t="s">
        <v>108</v>
      </c>
      <c r="F3" s="13" t="s">
        <v>109</v>
      </c>
      <c r="G3" s="13" t="s">
        <v>87</v>
      </c>
      <c r="H3" s="13" t="s">
        <v>104</v>
      </c>
    </row>
    <row r="4" spans="2:11" x14ac:dyDescent="0.25">
      <c r="B4" s="46" t="s">
        <v>105</v>
      </c>
      <c r="C4" s="47"/>
      <c r="D4" s="47"/>
      <c r="E4" s="47"/>
      <c r="F4" s="47"/>
      <c r="G4" s="47"/>
      <c r="H4" s="47"/>
      <c r="I4" s="1"/>
    </row>
    <row r="5" spans="2:11" x14ac:dyDescent="0.25">
      <c r="B5" s="12" t="s">
        <v>102</v>
      </c>
      <c r="C5" s="12" t="s">
        <v>31</v>
      </c>
      <c r="D5" s="23">
        <f>61417.92/1000</f>
        <v>61.417919999999995</v>
      </c>
      <c r="E5" s="43">
        <f>123.25*C16/C15</f>
        <v>124.14918753108937</v>
      </c>
      <c r="F5" s="42">
        <f>E5*C17/C16</f>
        <v>166.75841485657438</v>
      </c>
      <c r="G5" s="42">
        <f>D5*E5</f>
        <v>7624.9848678494436</v>
      </c>
      <c r="H5" s="42">
        <f>D5*F5</f>
        <v>10241.954982987896</v>
      </c>
    </row>
    <row r="6" spans="2:11" x14ac:dyDescent="0.25">
      <c r="B6" s="12" t="s">
        <v>103</v>
      </c>
      <c r="C6" s="12" t="s">
        <v>31</v>
      </c>
      <c r="D6" s="27">
        <f>33113.1562779304/1000</f>
        <v>33.113156277930401</v>
      </c>
      <c r="E6" s="42">
        <v>400.43</v>
      </c>
      <c r="F6" s="42">
        <v>1517.81</v>
      </c>
      <c r="G6" s="42">
        <f>D6*E6</f>
        <v>13259.501168371671</v>
      </c>
      <c r="H6" s="42">
        <f>D6*F6</f>
        <v>50259.479730205538</v>
      </c>
    </row>
    <row r="7" spans="2:11" x14ac:dyDescent="0.25">
      <c r="B7" s="41" t="s">
        <v>106</v>
      </c>
      <c r="C7" s="12" t="s">
        <v>31</v>
      </c>
      <c r="D7" s="27">
        <f>33113.1562779304/1000</f>
        <v>33.113156277930401</v>
      </c>
      <c r="E7" s="42">
        <v>1435.02</v>
      </c>
      <c r="F7" s="42">
        <v>1480.35</v>
      </c>
      <c r="G7" s="42">
        <f>D7*E7</f>
        <v>47518.041521955682</v>
      </c>
      <c r="H7" s="42">
        <f>D7*F7</f>
        <v>49019.060896034265</v>
      </c>
    </row>
    <row r="8" spans="2:11" x14ac:dyDescent="0.25">
      <c r="B8" s="46" t="s">
        <v>107</v>
      </c>
      <c r="C8" s="47"/>
      <c r="D8" s="47"/>
      <c r="E8" s="47"/>
      <c r="F8" s="47"/>
      <c r="G8" s="47"/>
      <c r="H8" s="47"/>
    </row>
    <row r="9" spans="2:11" x14ac:dyDescent="0.25">
      <c r="B9" s="14" t="s">
        <v>24</v>
      </c>
      <c r="C9" s="14" t="s">
        <v>32</v>
      </c>
      <c r="D9" s="9">
        <f>312885731.164979/10^6</f>
        <v>312.88573116497901</v>
      </c>
      <c r="E9" s="40">
        <v>0.38</v>
      </c>
      <c r="F9" s="42">
        <f>E9*C17/C16</f>
        <v>0.51041975308641974</v>
      </c>
      <c r="G9" s="42">
        <f>D9*E9</f>
        <v>118.89657784269203</v>
      </c>
      <c r="H9" s="42">
        <f>D9*F9</f>
        <v>159.70305764549249</v>
      </c>
    </row>
    <row r="10" spans="2:11" x14ac:dyDescent="0.25">
      <c r="B10" s="14" t="s">
        <v>25</v>
      </c>
      <c r="C10" s="14" t="s">
        <v>33</v>
      </c>
      <c r="D10" s="31">
        <v>3678.15320243521</v>
      </c>
      <c r="E10" s="40">
        <f>37.7/1000</f>
        <v>3.7700000000000004E-2</v>
      </c>
      <c r="F10" s="40">
        <f>235.28/1000</f>
        <v>0.23527999999999999</v>
      </c>
      <c r="G10" s="42">
        <f>D10*E10</f>
        <v>138.66637573180742</v>
      </c>
      <c r="H10" s="42">
        <f>D10*F10</f>
        <v>865.39588546895618</v>
      </c>
    </row>
    <row r="11" spans="2:11" x14ac:dyDescent="0.25">
      <c r="B11" s="4" t="s">
        <v>110</v>
      </c>
      <c r="C11" s="18" t="s">
        <v>37</v>
      </c>
      <c r="D11" s="16"/>
      <c r="E11" s="16"/>
      <c r="F11" s="19"/>
      <c r="G11" s="19">
        <f>(G5+G6+G9+G10)/1000000*8000</f>
        <v>169.13639191836492</v>
      </c>
      <c r="H11" s="19">
        <f>(H5+H6+H9+H10)/1000000*8000</f>
        <v>492.21226925046307</v>
      </c>
    </row>
    <row r="12" spans="2:11" x14ac:dyDescent="0.25">
      <c r="B12" s="36" t="s">
        <v>111</v>
      </c>
      <c r="C12" s="18" t="s">
        <v>37</v>
      </c>
      <c r="D12" s="16"/>
      <c r="E12" s="16"/>
      <c r="F12" s="19"/>
      <c r="G12" s="19">
        <f>(G5+G7+G9+G10)/1000000*8000</f>
        <v>443.20471474703703</v>
      </c>
      <c r="H12" s="19">
        <f>(H5+H7+H9+H10)/1000000*8000</f>
        <v>482.28891857709289</v>
      </c>
    </row>
    <row r="13" spans="2:11" x14ac:dyDescent="0.25">
      <c r="B13" s="15"/>
      <c r="C13" s="15"/>
      <c r="D13" s="15"/>
      <c r="E13" s="15"/>
      <c r="F13" s="15"/>
      <c r="G13" s="15"/>
      <c r="H13" s="15"/>
    </row>
    <row r="14" spans="2:11" x14ac:dyDescent="0.25">
      <c r="B14" s="28" t="s">
        <v>86</v>
      </c>
      <c r="C14" s="15"/>
      <c r="D14" s="15"/>
      <c r="E14" s="15"/>
      <c r="F14" s="15"/>
      <c r="G14" s="15"/>
      <c r="H14" s="15"/>
      <c r="K14"/>
    </row>
    <row r="15" spans="2:11" x14ac:dyDescent="0.25">
      <c r="B15" s="14" t="s">
        <v>85</v>
      </c>
      <c r="C15" s="23">
        <v>603.1</v>
      </c>
    </row>
    <row r="16" spans="2:11" x14ac:dyDescent="0.25">
      <c r="B16" s="14" t="s">
        <v>35</v>
      </c>
      <c r="C16" s="21">
        <v>607.5</v>
      </c>
    </row>
    <row r="17" spans="2:3" x14ac:dyDescent="0.25">
      <c r="B17" s="24" t="s">
        <v>93</v>
      </c>
      <c r="C17" s="21">
        <v>816</v>
      </c>
    </row>
  </sheetData>
  <mergeCells count="2">
    <mergeCell ref="B4:H4"/>
    <mergeCell ref="B8:H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24"/>
  <sheetViews>
    <sheetView topLeftCell="C1" zoomScale="145" zoomScaleNormal="145" workbookViewId="0">
      <selection activeCell="H12" sqref="H12"/>
    </sheetView>
  </sheetViews>
  <sheetFormatPr defaultRowHeight="15" x14ac:dyDescent="0.25"/>
  <cols>
    <col min="2" max="2" width="38.5703125" bestFit="1" customWidth="1"/>
    <col min="3" max="3" width="9.140625" bestFit="1" customWidth="1"/>
    <col min="5" max="5" width="36.5703125" bestFit="1" customWidth="1"/>
    <col min="8" max="8" width="36.5703125" bestFit="1" customWidth="1"/>
    <col min="11" max="11" width="36.5703125" bestFit="1" customWidth="1"/>
  </cols>
  <sheetData>
    <row r="2" spans="2:12" x14ac:dyDescent="0.25">
      <c r="B2" s="52" t="s">
        <v>100</v>
      </c>
      <c r="C2" s="52"/>
      <c r="E2" s="52" t="s">
        <v>101</v>
      </c>
      <c r="F2" s="52"/>
      <c r="H2" s="52" t="s">
        <v>112</v>
      </c>
      <c r="I2" s="52"/>
      <c r="K2" s="52" t="s">
        <v>113</v>
      </c>
      <c r="L2" s="52"/>
    </row>
    <row r="3" spans="2:12" x14ac:dyDescent="0.25">
      <c r="B3" s="10" t="s">
        <v>62</v>
      </c>
      <c r="C3" s="21">
        <f>SUM(CAPEX!B66)</f>
        <v>15.613094270361357</v>
      </c>
      <c r="E3" s="10" t="s">
        <v>95</v>
      </c>
      <c r="F3" s="21">
        <f>CAPEX!B67</f>
        <v>20.971662427349575</v>
      </c>
      <c r="H3" s="10" t="s">
        <v>62</v>
      </c>
      <c r="I3" s="21">
        <f t="shared" ref="I3:I18" si="0">C3</f>
        <v>15.613094270361357</v>
      </c>
      <c r="K3" s="10" t="s">
        <v>95</v>
      </c>
      <c r="L3" s="21">
        <f t="shared" ref="L3:L18" si="1">F3</f>
        <v>20.971662427349575</v>
      </c>
    </row>
    <row r="4" spans="2:12" x14ac:dyDescent="0.25">
      <c r="B4" s="26" t="s">
        <v>54</v>
      </c>
      <c r="C4" s="21">
        <f>SUM(CAPEX!B70)</f>
        <v>58.392972571151482</v>
      </c>
      <c r="E4" s="26" t="s">
        <v>54</v>
      </c>
      <c r="F4" s="21">
        <f>CAPEX!C70</f>
        <v>78.434017478287416</v>
      </c>
      <c r="H4" s="26" t="s">
        <v>54</v>
      </c>
      <c r="I4" s="21">
        <f t="shared" si="0"/>
        <v>58.392972571151482</v>
      </c>
      <c r="K4" s="26" t="s">
        <v>54</v>
      </c>
      <c r="L4" s="21">
        <f t="shared" si="1"/>
        <v>78.434017478287416</v>
      </c>
    </row>
    <row r="5" spans="2:12" x14ac:dyDescent="0.25">
      <c r="B5" s="26" t="s">
        <v>55</v>
      </c>
      <c r="C5" s="21">
        <f>SUM(CAPEX!B71)</f>
        <v>17.517891771345443</v>
      </c>
      <c r="E5" s="26" t="s">
        <v>55</v>
      </c>
      <c r="F5" s="21">
        <f>CAPEX!C71</f>
        <v>23.530205243486225</v>
      </c>
      <c r="H5" s="26" t="s">
        <v>55</v>
      </c>
      <c r="I5" s="21">
        <f t="shared" si="0"/>
        <v>17.517891771345443</v>
      </c>
      <c r="K5" s="26" t="s">
        <v>55</v>
      </c>
      <c r="L5" s="21">
        <f t="shared" si="1"/>
        <v>23.530205243486225</v>
      </c>
    </row>
    <row r="6" spans="2:12" x14ac:dyDescent="0.25">
      <c r="B6" s="26" t="s">
        <v>76</v>
      </c>
      <c r="C6" s="21">
        <f>SUM(CAPEX!B72)</f>
        <v>22.773259302749075</v>
      </c>
      <c r="E6" s="26" t="s">
        <v>76</v>
      </c>
      <c r="F6" s="21">
        <f>CAPEX!C72</f>
        <v>30.589266816532088</v>
      </c>
      <c r="H6" s="26" t="s">
        <v>76</v>
      </c>
      <c r="I6" s="21">
        <f t="shared" si="0"/>
        <v>22.773259302749075</v>
      </c>
      <c r="K6" s="26" t="s">
        <v>76</v>
      </c>
      <c r="L6" s="21">
        <f t="shared" si="1"/>
        <v>30.589266816532088</v>
      </c>
    </row>
    <row r="7" spans="2:12" x14ac:dyDescent="0.25">
      <c r="B7" s="26" t="s">
        <v>57</v>
      </c>
      <c r="C7" s="21">
        <f>SUM(CAPEX!B73)</f>
        <v>7.5910864342496929</v>
      </c>
      <c r="E7" s="26" t="s">
        <v>57</v>
      </c>
      <c r="F7" s="21">
        <f>CAPEX!C73</f>
        <v>10.196422272177365</v>
      </c>
      <c r="H7" s="26" t="s">
        <v>57</v>
      </c>
      <c r="I7" s="21">
        <f t="shared" si="0"/>
        <v>7.5910864342496929</v>
      </c>
      <c r="K7" s="26" t="s">
        <v>57</v>
      </c>
      <c r="L7" s="21">
        <f t="shared" si="1"/>
        <v>10.196422272177365</v>
      </c>
    </row>
    <row r="8" spans="2:12" x14ac:dyDescent="0.25">
      <c r="B8" s="26" t="s">
        <v>58</v>
      </c>
      <c r="C8" s="21">
        <f>SUM(CAPEX!B74)</f>
        <v>106.27521007949572</v>
      </c>
      <c r="E8" s="26" t="s">
        <v>58</v>
      </c>
      <c r="F8" s="21">
        <f>CAPEX!C74</f>
        <v>142.7499118104831</v>
      </c>
      <c r="H8" s="26" t="s">
        <v>58</v>
      </c>
      <c r="I8" s="21">
        <f t="shared" si="0"/>
        <v>106.27521007949572</v>
      </c>
      <c r="K8" s="26" t="s">
        <v>58</v>
      </c>
      <c r="L8" s="21">
        <f t="shared" si="1"/>
        <v>142.7499118104831</v>
      </c>
    </row>
    <row r="9" spans="2:12" x14ac:dyDescent="0.25">
      <c r="B9" s="26" t="s">
        <v>61</v>
      </c>
      <c r="C9" s="21">
        <f>SUM(CAPEX!B75)</f>
        <v>15.941281511924357</v>
      </c>
      <c r="E9" s="26" t="s">
        <v>61</v>
      </c>
      <c r="F9" s="21">
        <f>CAPEX!C75</f>
        <v>21.412486771572464</v>
      </c>
      <c r="H9" s="26" t="s">
        <v>61</v>
      </c>
      <c r="I9" s="21">
        <f t="shared" si="0"/>
        <v>15.941281511924357</v>
      </c>
      <c r="K9" s="26" t="s">
        <v>61</v>
      </c>
      <c r="L9" s="21">
        <f t="shared" si="1"/>
        <v>21.412486771572464</v>
      </c>
    </row>
    <row r="10" spans="2:12" x14ac:dyDescent="0.25">
      <c r="B10" s="10" t="s">
        <v>59</v>
      </c>
      <c r="C10" s="21">
        <f>SUM(CAPEX!B76)</f>
        <v>122.21649159142008</v>
      </c>
      <c r="E10" s="10" t="s">
        <v>59</v>
      </c>
      <c r="F10" s="21">
        <f>CAPEX!C76</f>
        <v>164.16239858205557</v>
      </c>
      <c r="H10" s="10" t="s">
        <v>59</v>
      </c>
      <c r="I10" s="21">
        <f t="shared" si="0"/>
        <v>122.21649159142008</v>
      </c>
      <c r="K10" s="10" t="s">
        <v>59</v>
      </c>
      <c r="L10" s="21">
        <f t="shared" si="1"/>
        <v>164.16239858205557</v>
      </c>
    </row>
    <row r="11" spans="2:12" x14ac:dyDescent="0.25">
      <c r="B11" s="10" t="s">
        <v>81</v>
      </c>
      <c r="C11" s="21">
        <v>0</v>
      </c>
      <c r="E11" s="10" t="s">
        <v>81</v>
      </c>
      <c r="F11" s="21">
        <f>SUM('Production costs'!F9)</f>
        <v>0</v>
      </c>
      <c r="H11" s="10" t="s">
        <v>81</v>
      </c>
      <c r="I11" s="21">
        <f t="shared" si="0"/>
        <v>0</v>
      </c>
      <c r="K11" s="10" t="s">
        <v>81</v>
      </c>
      <c r="L11" s="21">
        <f t="shared" si="1"/>
        <v>0</v>
      </c>
    </row>
    <row r="12" spans="2:12" x14ac:dyDescent="0.25">
      <c r="B12" s="10" t="s">
        <v>82</v>
      </c>
      <c r="C12" s="21">
        <v>0</v>
      </c>
      <c r="E12" s="10" t="s">
        <v>82</v>
      </c>
      <c r="F12" s="21">
        <f>SUM('Production costs'!F12)</f>
        <v>0</v>
      </c>
      <c r="H12" s="10" t="s">
        <v>82</v>
      </c>
      <c r="I12" s="21">
        <f t="shared" si="0"/>
        <v>0</v>
      </c>
      <c r="K12" s="10" t="s">
        <v>82</v>
      </c>
      <c r="L12" s="21">
        <f t="shared" si="1"/>
        <v>0</v>
      </c>
    </row>
    <row r="13" spans="2:12" x14ac:dyDescent="0.25">
      <c r="B13" s="10" t="s">
        <v>71</v>
      </c>
      <c r="C13" s="21">
        <v>0</v>
      </c>
      <c r="E13" s="10" t="s">
        <v>71</v>
      </c>
      <c r="F13" s="21">
        <f>SUM('Production costs'!F16)</f>
        <v>0</v>
      </c>
      <c r="H13" s="10" t="s">
        <v>71</v>
      </c>
      <c r="I13" s="21">
        <f t="shared" si="0"/>
        <v>0</v>
      </c>
      <c r="K13" s="10" t="s">
        <v>71</v>
      </c>
      <c r="L13" s="21">
        <f t="shared" si="1"/>
        <v>0</v>
      </c>
    </row>
    <row r="14" spans="2:12" x14ac:dyDescent="0.25">
      <c r="B14" s="10" t="s">
        <v>78</v>
      </c>
      <c r="C14" s="21">
        <v>0</v>
      </c>
      <c r="E14" s="10" t="s">
        <v>78</v>
      </c>
      <c r="F14" s="21">
        <f>SUM('Production costs'!F19)</f>
        <v>0</v>
      </c>
      <c r="H14" s="10" t="s">
        <v>78</v>
      </c>
      <c r="I14" s="21">
        <f t="shared" si="0"/>
        <v>0</v>
      </c>
      <c r="K14" s="10" t="s">
        <v>78</v>
      </c>
      <c r="L14" s="21">
        <f t="shared" si="1"/>
        <v>0</v>
      </c>
    </row>
    <row r="15" spans="2:12" x14ac:dyDescent="0.25">
      <c r="B15" s="10" t="s">
        <v>26</v>
      </c>
      <c r="C15" s="21">
        <f>SUM(CAPEX!B77)</f>
        <v>25</v>
      </c>
      <c r="E15" s="10" t="s">
        <v>26</v>
      </c>
      <c r="F15" s="21">
        <v>25</v>
      </c>
      <c r="H15" s="10" t="s">
        <v>26</v>
      </c>
      <c r="I15" s="21">
        <f t="shared" si="0"/>
        <v>25</v>
      </c>
      <c r="K15" s="10" t="s">
        <v>26</v>
      </c>
      <c r="L15" s="21">
        <f t="shared" si="1"/>
        <v>25</v>
      </c>
    </row>
    <row r="16" spans="2:12" x14ac:dyDescent="0.25">
      <c r="B16" s="10" t="s">
        <v>27</v>
      </c>
      <c r="C16" s="21">
        <f>SUM(CAPEX!B78)</f>
        <v>0.12</v>
      </c>
      <c r="E16" s="10" t="s">
        <v>27</v>
      </c>
      <c r="F16" s="21">
        <v>0.12</v>
      </c>
      <c r="H16" s="10" t="s">
        <v>27</v>
      </c>
      <c r="I16" s="21">
        <f t="shared" si="0"/>
        <v>0.12</v>
      </c>
      <c r="K16" s="10" t="s">
        <v>27</v>
      </c>
      <c r="L16" s="21">
        <f t="shared" si="1"/>
        <v>0.12</v>
      </c>
    </row>
    <row r="17" spans="2:12" x14ac:dyDescent="0.25">
      <c r="B17" s="10" t="s">
        <v>28</v>
      </c>
      <c r="C17" s="20">
        <f>SUM(CAPEX!B79)</f>
        <v>0.12749996980950773</v>
      </c>
      <c r="E17" s="10" t="s">
        <v>28</v>
      </c>
      <c r="F17" s="20">
        <v>0.12749996980950773</v>
      </c>
      <c r="H17" s="10" t="s">
        <v>28</v>
      </c>
      <c r="I17" s="20">
        <f t="shared" si="0"/>
        <v>0.12749996980950773</v>
      </c>
      <c r="K17" s="10" t="s">
        <v>28</v>
      </c>
      <c r="L17" s="20">
        <f t="shared" si="1"/>
        <v>0.12749996980950773</v>
      </c>
    </row>
    <row r="18" spans="2:12" x14ac:dyDescent="0.25">
      <c r="B18" s="13" t="s">
        <v>36</v>
      </c>
      <c r="C18" s="17">
        <f>SUM(CAPEX!B81)</f>
        <v>15.582598988130016</v>
      </c>
      <c r="E18" s="13" t="s">
        <v>36</v>
      </c>
      <c r="F18" s="17">
        <f>CAPEX!C81</f>
        <v>20.930700863068459</v>
      </c>
      <c r="H18" s="13" t="s">
        <v>36</v>
      </c>
      <c r="I18" s="17">
        <f t="shared" si="0"/>
        <v>15.582598988130016</v>
      </c>
      <c r="K18" s="13" t="s">
        <v>36</v>
      </c>
      <c r="L18" s="17">
        <f t="shared" si="1"/>
        <v>20.930700863068459</v>
      </c>
    </row>
    <row r="19" spans="2:12" x14ac:dyDescent="0.25">
      <c r="B19" s="13" t="s">
        <v>99</v>
      </c>
      <c r="C19" s="17">
        <v>0</v>
      </c>
      <c r="E19" s="13" t="s">
        <v>99</v>
      </c>
      <c r="F19" s="17">
        <v>0</v>
      </c>
      <c r="H19" s="13" t="s">
        <v>99</v>
      </c>
      <c r="I19" s="17">
        <v>0</v>
      </c>
      <c r="K19" s="13" t="s">
        <v>99</v>
      </c>
      <c r="L19" s="17">
        <v>0</v>
      </c>
    </row>
    <row r="20" spans="2:12" x14ac:dyDescent="0.25">
      <c r="B20" s="13" t="s">
        <v>88</v>
      </c>
      <c r="C20" s="17">
        <f>OPEX!G11</f>
        <v>169.13639191836492</v>
      </c>
      <c r="E20" s="13" t="s">
        <v>88</v>
      </c>
      <c r="F20" s="17">
        <f>OPEX!H11</f>
        <v>492.21226925046307</v>
      </c>
      <c r="H20" s="13" t="s">
        <v>88</v>
      </c>
      <c r="I20" s="17">
        <f>OPEX!G12</f>
        <v>443.20471474703703</v>
      </c>
      <c r="K20" s="13" t="s">
        <v>88</v>
      </c>
      <c r="L20" s="17">
        <f>OPEX!H12</f>
        <v>482.28891857709289</v>
      </c>
    </row>
    <row r="21" spans="2:12" x14ac:dyDescent="0.25">
      <c r="B21" s="13" t="s">
        <v>98</v>
      </c>
      <c r="C21" s="17">
        <f>(C18+C19+C20)</f>
        <v>184.71899090649492</v>
      </c>
      <c r="E21" s="13" t="s">
        <v>98</v>
      </c>
      <c r="F21" s="17">
        <f>(F18+F19+F20)</f>
        <v>513.14297011353153</v>
      </c>
      <c r="H21" s="13" t="s">
        <v>98</v>
      </c>
      <c r="I21" s="17">
        <f>(I18+I19+I20)</f>
        <v>458.78731373516706</v>
      </c>
      <c r="K21" s="13" t="s">
        <v>98</v>
      </c>
      <c r="L21" s="17">
        <f>(L18+L19+L20)</f>
        <v>503.21961944016135</v>
      </c>
    </row>
    <row r="22" spans="2:12" x14ac:dyDescent="0.25">
      <c r="B22" s="13" t="s">
        <v>97</v>
      </c>
      <c r="C22" s="17">
        <f>(C21)*1000000/8000</f>
        <v>23089.873863311863</v>
      </c>
      <c r="E22" s="13" t="s">
        <v>97</v>
      </c>
      <c r="F22" s="17">
        <f>(F21)*1000000/8000</f>
        <v>64142.871264191439</v>
      </c>
      <c r="H22" s="13" t="s">
        <v>97</v>
      </c>
      <c r="I22" s="17">
        <f>(I21)*1000000/8000</f>
        <v>57348.414216895886</v>
      </c>
      <c r="K22" s="13" t="s">
        <v>97</v>
      </c>
      <c r="L22" s="17">
        <f>(L21)*1000000/8000</f>
        <v>62902.452430020167</v>
      </c>
    </row>
    <row r="23" spans="2:12" x14ac:dyDescent="0.25">
      <c r="B23" s="28" t="s">
        <v>96</v>
      </c>
      <c r="C23" s="17">
        <v>40379.079741872098</v>
      </c>
      <c r="E23" s="28" t="s">
        <v>96</v>
      </c>
      <c r="F23" s="17">
        <v>40379.079741872098</v>
      </c>
      <c r="H23" s="28" t="s">
        <v>96</v>
      </c>
      <c r="I23" s="17">
        <v>40379.079741872098</v>
      </c>
      <c r="K23" s="28" t="s">
        <v>96</v>
      </c>
      <c r="L23" s="17">
        <v>40379.079741872098</v>
      </c>
    </row>
    <row r="24" spans="2:12" x14ac:dyDescent="0.25">
      <c r="B24" s="30" t="s">
        <v>114</v>
      </c>
      <c r="C24" s="45">
        <f>C22/C23</f>
        <v>0.57182763973118089</v>
      </c>
      <c r="E24" s="30" t="s">
        <v>114</v>
      </c>
      <c r="F24" s="45">
        <f>F22/F23</f>
        <v>1.5885174123390653</v>
      </c>
      <c r="H24" s="30" t="s">
        <v>114</v>
      </c>
      <c r="I24" s="45">
        <f>I22/I23</f>
        <v>1.4202506491852267</v>
      </c>
      <c r="K24" s="30" t="s">
        <v>114</v>
      </c>
      <c r="L24" s="45">
        <f>L22/L23</f>
        <v>1.5577980685080322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2023-10-29T20:59:21Z</dcterms:modified>
</cp:coreProperties>
</file>