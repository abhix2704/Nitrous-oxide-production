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data\"/>
    </mc:Choice>
  </mc:AlternateContent>
  <xr:revisionPtr revIDLastSave="0" documentId="13_ncr:1_{9F0FEF68-E419-4A1F-94DF-4746AAC7B520}" xr6:coauthVersionLast="36" xr6:coauthVersionMax="47" xr10:uidLastSave="{00000000-0000-0000-0000-000000000000}"/>
  <bookViews>
    <workbookView xWindow="0" yWindow="495" windowWidth="14400" windowHeight="4110" activeTab="3" xr2:uid="{79F87D26-5407-4579-9D8D-FA563FE5FD90}"/>
  </bookViews>
  <sheets>
    <sheet name="hydrogen" sheetId="14" r:id="rId1"/>
    <sheet name="ammonia" sheetId="15" r:id="rId2"/>
    <sheet name="nitrous_oxide" sheetId="25" r:id="rId3"/>
    <sheet name="hydrogen_peroxide" sheetId="2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26" l="1"/>
  <c r="C38" i="26"/>
  <c r="C19" i="26"/>
  <c r="C18" i="26"/>
  <c r="C12" i="15" l="1"/>
  <c r="C20" i="15"/>
  <c r="C21" i="15"/>
  <c r="C32" i="15"/>
  <c r="C34" i="15"/>
  <c r="C61" i="15" l="1"/>
  <c r="C60" i="15"/>
  <c r="C62" i="15"/>
  <c r="C59" i="15"/>
</calcChain>
</file>

<file path=xl/sharedStrings.xml><?xml version="1.0" encoding="utf-8"?>
<sst xmlns="http://schemas.openxmlformats.org/spreadsheetml/2006/main" count="899" uniqueCount="127">
  <si>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</si>
  <si>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</si>
  <si>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</si>
  <si>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</si>
  <si>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</si>
  <si>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</si>
  <si>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</si>
  <si>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</si>
  <si>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</si>
  <si>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</si>
  <si>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</si>
  <si>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</si>
  <si>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</si>
  <si>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</si>
  <si>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</si>
  <si>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</si>
  <si>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</si>
  <si>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</si>
  <si>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market for chemical factory, organics</t>
  </si>
  <si>
    <t>biosphere</t>
  </si>
  <si>
    <t>Water, cooling, unspecified natural origin</t>
  </si>
  <si>
    <t>Nitrogen oxides</t>
  </si>
  <si>
    <t>air</t>
  </si>
  <si>
    <t>Database</t>
  </si>
  <si>
    <t>zeolite, powder</t>
  </si>
  <si>
    <t xml:space="preserve">chemical factory, organics </t>
  </si>
  <si>
    <t xml:space="preserve">electricity, high voltage </t>
  </si>
  <si>
    <t xml:space="preserve">kilowatt hour </t>
  </si>
  <si>
    <t>natural resource::in water</t>
  </si>
  <si>
    <t>megajoule</t>
  </si>
  <si>
    <t>treatment of inert waste, inert material landfill</t>
  </si>
  <si>
    <t>inert waste, for final disposal</t>
  </si>
  <si>
    <t>lubricating oil</t>
  </si>
  <si>
    <t>electricity, high voltage</t>
  </si>
  <si>
    <t>market group for electricity, high voltage</t>
  </si>
  <si>
    <t>kilowatt hour</t>
  </si>
  <si>
    <t>heat production, natural gas, at boiler condensing modulating &gt;100kW</t>
  </si>
  <si>
    <t>heat, district or industrial, natural gas</t>
  </si>
  <si>
    <t>activated carbon, granular</t>
  </si>
  <si>
    <t>Ammonia</t>
  </si>
  <si>
    <t>D'Angelo et al. (2021), DOI: https://doi.org/10.1021/acssuschemeng.1c01915</t>
  </si>
  <si>
    <t>materials for gasket construction, cell stack, PEM electrolyser</t>
  </si>
  <si>
    <t>tetrafluoroethylene production</t>
  </si>
  <si>
    <t>tetrafluoroethylene</t>
  </si>
  <si>
    <t>acrylonitrile-butadiene-styrene copolymer</t>
  </si>
  <si>
    <t>aniline</t>
  </si>
  <si>
    <t>acetic anhydride</t>
  </si>
  <si>
    <t>purified terephthalic acid</t>
  </si>
  <si>
    <t>nitric acid, without water, in 50% solution state</t>
  </si>
  <si>
    <t>hydrochloric acid, without water, in 30% solution state</t>
  </si>
  <si>
    <t>graphite</t>
  </si>
  <si>
    <t>acrylonitrile-butadiene-styrene copolymer production</t>
  </si>
  <si>
    <t>aniline production</t>
  </si>
  <si>
    <t>purified terephthalic acid production</t>
  </si>
  <si>
    <t>nitric acid production, product in 50% solution state</t>
  </si>
  <si>
    <t>hydrochloric acid production, from the reaction of hydrogen with chlorine</t>
  </si>
  <si>
    <t>graphite production</t>
  </si>
  <si>
    <t>lubricating oil production</t>
  </si>
  <si>
    <t>cell stack construction, PEM electrolyser</t>
  </si>
  <si>
    <t>copper production, cathode, solvent extraction and electrowinning process</t>
  </si>
  <si>
    <t>steel production, converter, unalloyed</t>
  </si>
  <si>
    <t>titanium production</t>
  </si>
  <si>
    <t>aluminium production, primary, ingot</t>
  </si>
  <si>
    <t>activated carbon production, granular from hard coal</t>
  </si>
  <si>
    <t>treatment of metal part of electronics scrap, in copper, anode, by electrolytic refining</t>
  </si>
  <si>
    <t>water production, decarbonised</t>
  </si>
  <si>
    <t>water production, deionised</t>
  </si>
  <si>
    <t>steam production, as energy carrier, in chemical industry</t>
  </si>
  <si>
    <t>industrial machine production, heavy, unspecified</t>
  </si>
  <si>
    <t>plaster mixing</t>
  </si>
  <si>
    <t>calendering, rigid sheets</t>
  </si>
  <si>
    <t>copper, cathode</t>
  </si>
  <si>
    <t>natural resource::in ground</t>
  </si>
  <si>
    <t>steel, unalloyed</t>
  </si>
  <si>
    <t>titanium</t>
  </si>
  <si>
    <t>aluminium, primary, ingot</t>
  </si>
  <si>
    <t>precious metal from electronics scrap, in anode slime</t>
  </si>
  <si>
    <t>water, decarbonised</t>
  </si>
  <si>
    <t>water, deionised</t>
  </si>
  <si>
    <t>heat, from steam, in chemical industry</t>
  </si>
  <si>
    <t>industrial machine, heavy, unspecified</t>
  </si>
  <si>
    <t>Iridium</t>
  </si>
  <si>
    <t>Platinum</t>
  </si>
  <si>
    <t>magnetite production</t>
  </si>
  <si>
    <t>magnetite</t>
  </si>
  <si>
    <t>zeolite production, powder</t>
  </si>
  <si>
    <t>Water</t>
  </si>
  <si>
    <t>water</t>
  </si>
  <si>
    <t>market for wastewater, average</t>
  </si>
  <si>
    <t>wastewater, average</t>
  </si>
  <si>
    <t>Hydrogen</t>
  </si>
  <si>
    <t>ammonia synthesis catalyst</t>
  </si>
  <si>
    <t>lime production, milled, loose</t>
  </si>
  <si>
    <t>lime</t>
  </si>
  <si>
    <t>nitrogen gaseous, from cryogenic distillation, without compression</t>
  </si>
  <si>
    <t>air separation facility construction</t>
  </si>
  <si>
    <t>air separation facility</t>
  </si>
  <si>
    <t>nitrogen gaseous, from cryogenic distillation</t>
  </si>
  <si>
    <t>electricity production, wind, &gt;3MW turbine, onshore</t>
  </si>
  <si>
    <t>cooling water</t>
  </si>
  <si>
    <t>Ioannou et al. (2023), DOI: https://doi.org/10.1021/acssuschemeng.2c06724</t>
  </si>
  <si>
    <t>Nitrogen</t>
  </si>
  <si>
    <t>ecoinvent-3.10-biosphere</t>
  </si>
  <si>
    <t>acetic anhydride production, acetic acid pyrolysis, via ketene intermediate</t>
  </si>
  <si>
    <t>hydrogen production, PEM electrolysis, green</t>
  </si>
  <si>
    <t>nitrous-oxide-ei310-Base-2020</t>
  </si>
  <si>
    <t>ammonia production, from nitrogen and hydrogen, green</t>
  </si>
  <si>
    <t>market for ammonia, anhydrous, liquid</t>
  </si>
  <si>
    <t>ammonia, anhydrous, liquid</t>
  </si>
  <si>
    <t>nitrous oxide production, AON ideal, fossil ammonia</t>
  </si>
  <si>
    <t>nitrous oxide production, AON ideal, green ammonia</t>
  </si>
  <si>
    <t>ecoinvent-3.10-cutoff-Base-2020</t>
  </si>
  <si>
    <t>nitrous oxide production, AON real, fossil ammonia</t>
  </si>
  <si>
    <t>nitrous oxide production, AON real, green ammonia</t>
  </si>
  <si>
    <t>Dinitrogen monoxide</t>
  </si>
  <si>
    <t>cooling energy, at -160 °C</t>
  </si>
  <si>
    <t>cooling energy production, at -160 °C, propylene-ethylene-methane compression refrigeration system 1 MW</t>
  </si>
  <si>
    <t xml:space="preserve">GLO </t>
  </si>
  <si>
    <t>hydrogen peroxide production, AO real, fossil hydrogen</t>
  </si>
  <si>
    <t>hydrogen peroxide production, AO real, green hydrogen</t>
  </si>
  <si>
    <t xml:space="preserve">anthraquinone </t>
  </si>
  <si>
    <t>market for anthraquinone</t>
  </si>
  <si>
    <t>hydrogen, gaseous, medium pressure, merchant</t>
  </si>
  <si>
    <t>market for hydrogen, gaseous, medium pressure, merchant</t>
  </si>
  <si>
    <t>Carbon dioxide, fossil</t>
  </si>
  <si>
    <t>market for benzene</t>
  </si>
  <si>
    <t>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</si>
</sst>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left"/>
    </xf>
    <xf numFmtId="0" fontId="0" fillId="0" borderId="0" xfId="0" applyFont="1"/>
    <xf numFmtId="11" fontId="0" fillId="0" borderId="0" xfId="0" applyNumberFormat="1" applyAlignment="1">
      <alignment horizontal="center"/>
    </xf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H62"/>
  <sheetViews>
    <sheetView zoomScale="85" zoomScaleNormal="85" workbookViewId="0">
      <selection activeCell="B49" sqref="B49"/>
    </sheetView>
  </sheetViews>
  <sheetFormatPr defaultRowHeight="15" x14ac:dyDescent="0.25"/>
  <cols>
    <col min="1" max="1" width="101.140625" bestFit="1" customWidth="1"/>
    <col min="2" max="2" width="99.42578125" customWidth="1"/>
    <col min="3" max="3" width="11" bestFit="1" customWidth="1"/>
    <col min="4" max="4" width="18.28515625" bestFit="1" customWidth="1"/>
    <col min="5" max="5" width="8.7109375" bestFit="1" customWidth="1"/>
    <col min="6" max="6" width="36.28515625" bestFit="1" customWidth="1"/>
    <col min="7" max="7" width="26.7109375" bestFit="1" customWidth="1"/>
    <col min="8" max="8" width="14.5703125" bestFit="1" customWidth="1"/>
  </cols>
  <sheetData>
    <row r="1" spans="1:8" x14ac:dyDescent="0.25">
      <c r="A1" s="4" t="s">
        <v>23</v>
      </c>
      <c r="B1" s="4" t="s">
        <v>105</v>
      </c>
      <c r="C1" s="18"/>
      <c r="D1" s="5"/>
      <c r="E1" s="5"/>
      <c r="F1" s="5"/>
      <c r="G1" s="5"/>
      <c r="H1" s="5"/>
    </row>
    <row r="2" spans="1:8" x14ac:dyDescent="0.25">
      <c r="A2" s="2"/>
      <c r="B2" s="2"/>
      <c r="C2" s="17"/>
      <c r="D2" s="2"/>
      <c r="E2" s="2"/>
      <c r="F2" s="2"/>
      <c r="G2" s="2"/>
      <c r="H2" s="2"/>
    </row>
    <row r="3" spans="1:8" x14ac:dyDescent="0.25">
      <c r="A3" s="1" t="s">
        <v>0</v>
      </c>
      <c r="B3" s="8" t="s">
        <v>104</v>
      </c>
      <c r="C3" s="16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40</v>
      </c>
      <c r="C4" s="16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6"/>
      <c r="D5" s="3"/>
      <c r="E5" s="3"/>
      <c r="F5" s="3"/>
      <c r="G5" s="3"/>
      <c r="H5" s="3"/>
    </row>
    <row r="6" spans="1:8" x14ac:dyDescent="0.25">
      <c r="A6" s="3" t="s">
        <v>4</v>
      </c>
      <c r="B6" s="9">
        <v>1</v>
      </c>
      <c r="C6" s="16"/>
      <c r="D6" s="3"/>
      <c r="E6" s="3"/>
      <c r="F6" s="3"/>
      <c r="G6" s="3"/>
      <c r="H6" s="3"/>
    </row>
    <row r="7" spans="1:8" x14ac:dyDescent="0.25">
      <c r="A7" s="3" t="s">
        <v>5</v>
      </c>
      <c r="B7" t="s">
        <v>104</v>
      </c>
      <c r="C7" s="16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6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6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10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104</v>
      </c>
      <c r="B11" t="s">
        <v>104</v>
      </c>
      <c r="C11" s="11">
        <v>1</v>
      </c>
      <c r="D11" t="s">
        <v>7</v>
      </c>
      <c r="E11" t="s">
        <v>3</v>
      </c>
      <c r="G11" s="21" t="s">
        <v>105</v>
      </c>
      <c r="H11" t="s">
        <v>14</v>
      </c>
    </row>
    <row r="12" spans="1:8" x14ac:dyDescent="0.25">
      <c r="A12" t="s">
        <v>58</v>
      </c>
      <c r="B12" t="s">
        <v>58</v>
      </c>
      <c r="C12" s="11">
        <v>1</v>
      </c>
      <c r="D12" t="s">
        <v>7</v>
      </c>
      <c r="E12" t="s">
        <v>3</v>
      </c>
      <c r="G12" s="21" t="s">
        <v>105</v>
      </c>
      <c r="H12" t="s">
        <v>16</v>
      </c>
    </row>
    <row r="13" spans="1:8" x14ac:dyDescent="0.25">
      <c r="A13" s="3" t="s">
        <v>78</v>
      </c>
      <c r="B13" t="s">
        <v>66</v>
      </c>
      <c r="C13" s="11">
        <v>9</v>
      </c>
      <c r="D13" s="3" t="s">
        <v>7</v>
      </c>
      <c r="E13" s="3" t="s">
        <v>15</v>
      </c>
      <c r="G13" t="s">
        <v>111</v>
      </c>
      <c r="H13" t="s">
        <v>16</v>
      </c>
    </row>
    <row r="14" spans="1:8" x14ac:dyDescent="0.25">
      <c r="A14" s="3" t="s">
        <v>37</v>
      </c>
      <c r="B14" t="s">
        <v>36</v>
      </c>
      <c r="C14" s="11">
        <v>0.18</v>
      </c>
      <c r="D14" s="3" t="s">
        <v>29</v>
      </c>
      <c r="E14" s="3" t="s">
        <v>15</v>
      </c>
      <c r="G14" t="s">
        <v>111</v>
      </c>
      <c r="H14" t="s">
        <v>16</v>
      </c>
    </row>
    <row r="15" spans="1:8" x14ac:dyDescent="0.25">
      <c r="A15" t="s">
        <v>26</v>
      </c>
      <c r="B15" t="s">
        <v>98</v>
      </c>
      <c r="C15" s="11">
        <v>55.05681818181818</v>
      </c>
      <c r="D15" t="s">
        <v>27</v>
      </c>
      <c r="E15" t="s">
        <v>15</v>
      </c>
      <c r="G15" t="s">
        <v>111</v>
      </c>
      <c r="H15" t="s">
        <v>16</v>
      </c>
    </row>
    <row r="16" spans="1:8" x14ac:dyDescent="0.25">
      <c r="A16" s="2"/>
      <c r="B16" s="2"/>
      <c r="C16" s="17"/>
      <c r="D16" s="2"/>
      <c r="E16" s="2"/>
      <c r="F16" s="2"/>
      <c r="G16" s="2"/>
      <c r="H16" s="2"/>
    </row>
    <row r="17" spans="1:8" x14ac:dyDescent="0.25">
      <c r="A17" s="1" t="s">
        <v>0</v>
      </c>
      <c r="B17" s="8" t="s">
        <v>58</v>
      </c>
      <c r="C17" s="16"/>
      <c r="D17" s="3"/>
      <c r="E17" s="3"/>
      <c r="F17" s="3"/>
      <c r="G17" s="3"/>
      <c r="H17" s="3"/>
    </row>
    <row r="18" spans="1:8" x14ac:dyDescent="0.25">
      <c r="A18" s="3" t="s">
        <v>1</v>
      </c>
      <c r="B18" s="6" t="s">
        <v>40</v>
      </c>
      <c r="C18" s="16"/>
      <c r="D18" s="3"/>
      <c r="E18" s="3"/>
      <c r="F18" s="3"/>
      <c r="G18" s="3"/>
      <c r="H18" s="3"/>
    </row>
    <row r="19" spans="1:8" x14ac:dyDescent="0.25">
      <c r="A19" s="3" t="s">
        <v>2</v>
      </c>
      <c r="B19" t="s">
        <v>3</v>
      </c>
      <c r="C19" s="16"/>
      <c r="D19" s="3"/>
      <c r="E19" s="3"/>
      <c r="F19" s="3"/>
      <c r="G19" s="3"/>
      <c r="H19" s="3"/>
    </row>
    <row r="20" spans="1:8" x14ac:dyDescent="0.25">
      <c r="A20" s="3" t="s">
        <v>4</v>
      </c>
      <c r="B20" s="9">
        <v>1</v>
      </c>
      <c r="C20" s="16"/>
      <c r="D20" s="3"/>
      <c r="E20" s="3"/>
      <c r="F20" s="3"/>
      <c r="G20" s="3"/>
      <c r="H20" s="3"/>
    </row>
    <row r="21" spans="1:8" x14ac:dyDescent="0.25">
      <c r="A21" s="3" t="s">
        <v>5</v>
      </c>
      <c r="B21" t="s">
        <v>58</v>
      </c>
      <c r="C21" s="16"/>
      <c r="D21" s="3"/>
      <c r="E21" s="3"/>
      <c r="F21" s="3"/>
      <c r="G21" s="3"/>
      <c r="H21" s="3"/>
    </row>
    <row r="22" spans="1:8" x14ac:dyDescent="0.25">
      <c r="A22" s="3" t="s">
        <v>6</v>
      </c>
      <c r="B22" t="s">
        <v>7</v>
      </c>
      <c r="C22" s="16"/>
      <c r="D22" s="3"/>
      <c r="E22" s="3"/>
      <c r="F22" s="3"/>
      <c r="G22" s="3"/>
      <c r="H22" s="3"/>
    </row>
    <row r="23" spans="1:8" x14ac:dyDescent="0.25">
      <c r="A23" s="1" t="s">
        <v>8</v>
      </c>
      <c r="B23" s="3"/>
      <c r="C23" s="16"/>
      <c r="D23" s="3"/>
      <c r="E23" s="3"/>
      <c r="F23" s="3"/>
      <c r="G23" s="3"/>
      <c r="H23" s="3"/>
    </row>
    <row r="24" spans="1:8" x14ac:dyDescent="0.25">
      <c r="A24" s="7" t="s">
        <v>5</v>
      </c>
      <c r="B24" s="6" t="s">
        <v>9</v>
      </c>
      <c r="C24" s="10" t="s">
        <v>10</v>
      </c>
      <c r="D24" s="6" t="s">
        <v>6</v>
      </c>
      <c r="E24" s="6" t="s">
        <v>2</v>
      </c>
      <c r="F24" s="6" t="s">
        <v>12</v>
      </c>
      <c r="G24" s="6" t="s">
        <v>11</v>
      </c>
      <c r="H24" s="7" t="s">
        <v>13</v>
      </c>
    </row>
    <row r="25" spans="1:8" x14ac:dyDescent="0.25">
      <c r="A25" t="s">
        <v>58</v>
      </c>
      <c r="B25" t="s">
        <v>58</v>
      </c>
      <c r="C25" s="11">
        <v>1</v>
      </c>
      <c r="D25" t="s">
        <v>7</v>
      </c>
      <c r="E25" t="s">
        <v>3</v>
      </c>
      <c r="G25" s="21" t="s">
        <v>105</v>
      </c>
      <c r="H25" t="s">
        <v>14</v>
      </c>
    </row>
    <row r="26" spans="1:8" x14ac:dyDescent="0.25">
      <c r="A26" t="s">
        <v>41</v>
      </c>
      <c r="B26" t="s">
        <v>41</v>
      </c>
      <c r="C26" s="15">
        <v>1.13E-4</v>
      </c>
      <c r="D26" t="s">
        <v>7</v>
      </c>
      <c r="E26" t="s">
        <v>3</v>
      </c>
      <c r="G26" s="21" t="s">
        <v>105</v>
      </c>
      <c r="H26" t="s">
        <v>16</v>
      </c>
    </row>
    <row r="27" spans="1:8" x14ac:dyDescent="0.25">
      <c r="A27" t="s">
        <v>71</v>
      </c>
      <c r="B27" t="s">
        <v>59</v>
      </c>
      <c r="C27" s="15">
        <v>1.4300000000000001E-6</v>
      </c>
      <c r="D27" s="3" t="s">
        <v>7</v>
      </c>
      <c r="E27" t="s">
        <v>3</v>
      </c>
      <c r="G27" t="s">
        <v>111</v>
      </c>
      <c r="H27" t="s">
        <v>16</v>
      </c>
    </row>
    <row r="28" spans="1:8" x14ac:dyDescent="0.25">
      <c r="A28" s="3" t="s">
        <v>73</v>
      </c>
      <c r="B28" t="s">
        <v>60</v>
      </c>
      <c r="C28" s="15">
        <v>3.1399999999999998E-5</v>
      </c>
      <c r="D28" s="3" t="s">
        <v>7</v>
      </c>
      <c r="E28" s="3" t="s">
        <v>15</v>
      </c>
      <c r="G28" t="s">
        <v>111</v>
      </c>
      <c r="H28" t="s">
        <v>16</v>
      </c>
    </row>
    <row r="29" spans="1:8" x14ac:dyDescent="0.25">
      <c r="A29" s="3" t="s">
        <v>74</v>
      </c>
      <c r="B29" t="s">
        <v>61</v>
      </c>
      <c r="C29" s="15">
        <v>4.7399999999999997E-4</v>
      </c>
      <c r="D29" s="3" t="s">
        <v>7</v>
      </c>
      <c r="E29" t="s">
        <v>3</v>
      </c>
      <c r="G29" t="s">
        <v>111</v>
      </c>
      <c r="H29" t="s">
        <v>16</v>
      </c>
    </row>
    <row r="30" spans="1:8" x14ac:dyDescent="0.25">
      <c r="A30" s="3" t="s">
        <v>75</v>
      </c>
      <c r="B30" t="s">
        <v>62</v>
      </c>
      <c r="C30" s="15">
        <v>2.4199999999999999E-5</v>
      </c>
      <c r="D30" s="3" t="s">
        <v>7</v>
      </c>
      <c r="E30" s="3" t="s">
        <v>15</v>
      </c>
      <c r="G30" t="s">
        <v>111</v>
      </c>
      <c r="H30" t="s">
        <v>16</v>
      </c>
    </row>
    <row r="31" spans="1:8" x14ac:dyDescent="0.25">
      <c r="A31" s="3" t="s">
        <v>43</v>
      </c>
      <c r="B31" t="s">
        <v>42</v>
      </c>
      <c r="C31" s="15">
        <v>1.43E-5</v>
      </c>
      <c r="D31" s="3" t="s">
        <v>7</v>
      </c>
      <c r="E31" s="3" t="s">
        <v>15</v>
      </c>
      <c r="G31" t="s">
        <v>111</v>
      </c>
      <c r="H31" t="s">
        <v>16</v>
      </c>
    </row>
    <row r="32" spans="1:8" x14ac:dyDescent="0.25">
      <c r="A32" s="3" t="s">
        <v>38</v>
      </c>
      <c r="B32" t="s">
        <v>63</v>
      </c>
      <c r="C32" s="15">
        <v>8.0700000000000007E-6</v>
      </c>
      <c r="D32" s="3" t="s">
        <v>7</v>
      </c>
      <c r="E32" s="3" t="s">
        <v>15</v>
      </c>
      <c r="G32" t="s">
        <v>111</v>
      </c>
      <c r="H32" t="s">
        <v>16</v>
      </c>
    </row>
    <row r="33" spans="1:8" x14ac:dyDescent="0.25">
      <c r="A33" s="3" t="s">
        <v>76</v>
      </c>
      <c r="B33" t="s">
        <v>64</v>
      </c>
      <c r="C33" s="15">
        <v>-7.4000000000000001E-7</v>
      </c>
      <c r="D33" s="3" t="s">
        <v>7</v>
      </c>
      <c r="E33" s="3" t="s">
        <v>15</v>
      </c>
      <c r="G33" t="s">
        <v>111</v>
      </c>
      <c r="H33" t="s">
        <v>16</v>
      </c>
    </row>
    <row r="34" spans="1:8" x14ac:dyDescent="0.25">
      <c r="A34" s="3" t="s">
        <v>77</v>
      </c>
      <c r="B34" t="s">
        <v>65</v>
      </c>
      <c r="C34" s="12">
        <v>1.2100000000000001E-3</v>
      </c>
      <c r="D34" s="3" t="s">
        <v>7</v>
      </c>
      <c r="E34" s="3" t="s">
        <v>15</v>
      </c>
      <c r="G34" t="s">
        <v>111</v>
      </c>
      <c r="H34" t="s">
        <v>16</v>
      </c>
    </row>
    <row r="35" spans="1:8" x14ac:dyDescent="0.25">
      <c r="A35" s="3" t="s">
        <v>78</v>
      </c>
      <c r="B35" t="s">
        <v>66</v>
      </c>
      <c r="C35" s="11">
        <v>9.4500000000000001E-3</v>
      </c>
      <c r="D35" s="3" t="s">
        <v>7</v>
      </c>
      <c r="E35" s="3" t="s">
        <v>15</v>
      </c>
      <c r="G35" t="s">
        <v>111</v>
      </c>
      <c r="H35" t="s">
        <v>16</v>
      </c>
    </row>
    <row r="36" spans="1:8" x14ac:dyDescent="0.25">
      <c r="A36" t="s">
        <v>33</v>
      </c>
      <c r="B36" t="s">
        <v>34</v>
      </c>
      <c r="C36" s="11">
        <v>1.1055564400000001E-3</v>
      </c>
      <c r="D36" s="3" t="s">
        <v>35</v>
      </c>
      <c r="E36" t="s">
        <v>3</v>
      </c>
      <c r="G36" t="s">
        <v>111</v>
      </c>
      <c r="H36" t="s">
        <v>16</v>
      </c>
    </row>
    <row r="37" spans="1:8" x14ac:dyDescent="0.25">
      <c r="A37" s="3" t="s">
        <v>37</v>
      </c>
      <c r="B37" t="s">
        <v>36</v>
      </c>
      <c r="C37" s="11">
        <v>9.7199999999999995E-3</v>
      </c>
      <c r="D37" s="3" t="s">
        <v>29</v>
      </c>
      <c r="E37" s="3" t="s">
        <v>15</v>
      </c>
      <c r="G37" t="s">
        <v>111</v>
      </c>
      <c r="H37" t="s">
        <v>16</v>
      </c>
    </row>
    <row r="38" spans="1:8" x14ac:dyDescent="0.25">
      <c r="A38" s="3" t="s">
        <v>79</v>
      </c>
      <c r="B38" t="s">
        <v>67</v>
      </c>
      <c r="C38" s="15">
        <v>7.7299999999999995E-5</v>
      </c>
      <c r="D38" s="3" t="s">
        <v>29</v>
      </c>
      <c r="E38" s="3" t="s">
        <v>15</v>
      </c>
      <c r="G38" t="s">
        <v>111</v>
      </c>
      <c r="H38" t="s">
        <v>16</v>
      </c>
    </row>
    <row r="39" spans="1:8" x14ac:dyDescent="0.25">
      <c r="A39" s="3" t="s">
        <v>80</v>
      </c>
      <c r="B39" t="s">
        <v>68</v>
      </c>
      <c r="C39" s="15">
        <v>1.77E-8</v>
      </c>
      <c r="D39" s="3" t="s">
        <v>7</v>
      </c>
      <c r="E39" s="3" t="s">
        <v>15</v>
      </c>
      <c r="G39" t="s">
        <v>111</v>
      </c>
      <c r="H39" t="s">
        <v>16</v>
      </c>
    </row>
    <row r="40" spans="1:8" x14ac:dyDescent="0.25">
      <c r="A40" s="3" t="s">
        <v>69</v>
      </c>
      <c r="B40" t="s">
        <v>69</v>
      </c>
      <c r="C40" s="15">
        <v>8.6100000000000006E-5</v>
      </c>
      <c r="D40" s="3" t="s">
        <v>7</v>
      </c>
      <c r="E40" s="3" t="s">
        <v>15</v>
      </c>
      <c r="G40" t="s">
        <v>111</v>
      </c>
      <c r="H40" t="s">
        <v>16</v>
      </c>
    </row>
    <row r="41" spans="1:8" x14ac:dyDescent="0.25">
      <c r="A41" s="3" t="s">
        <v>70</v>
      </c>
      <c r="B41" t="s">
        <v>70</v>
      </c>
      <c r="C41" s="15">
        <v>8.6100000000000006E-5</v>
      </c>
      <c r="D41" s="3" t="s">
        <v>7</v>
      </c>
      <c r="E41" s="3" t="s">
        <v>15</v>
      </c>
      <c r="G41" t="s">
        <v>111</v>
      </c>
      <c r="H41" t="s">
        <v>16</v>
      </c>
    </row>
    <row r="42" spans="1:8" x14ac:dyDescent="0.25">
      <c r="B42" t="s">
        <v>81</v>
      </c>
      <c r="C42" s="15">
        <v>6.7299999999999995E-7</v>
      </c>
      <c r="D42" s="3" t="s">
        <v>7</v>
      </c>
      <c r="F42" s="3" t="s">
        <v>72</v>
      </c>
      <c r="G42" t="s">
        <v>102</v>
      </c>
      <c r="H42" t="s">
        <v>19</v>
      </c>
    </row>
    <row r="43" spans="1:8" x14ac:dyDescent="0.25">
      <c r="B43" t="s">
        <v>82</v>
      </c>
      <c r="C43" s="15">
        <v>6.73E-8</v>
      </c>
      <c r="D43" s="3" t="s">
        <v>7</v>
      </c>
      <c r="F43" s="3" t="s">
        <v>72</v>
      </c>
      <c r="G43" t="s">
        <v>102</v>
      </c>
      <c r="H43" t="s">
        <v>19</v>
      </c>
    </row>
    <row r="44" spans="1:8" x14ac:dyDescent="0.25">
      <c r="A44" s="2"/>
      <c r="B44" s="2"/>
      <c r="C44" s="17"/>
      <c r="D44" s="2"/>
      <c r="E44" s="2"/>
      <c r="F44" s="2"/>
      <c r="G44" s="2"/>
      <c r="H44" s="2"/>
    </row>
    <row r="45" spans="1:8" x14ac:dyDescent="0.25">
      <c r="A45" s="1" t="s">
        <v>0</v>
      </c>
      <c r="B45" s="8" t="s">
        <v>41</v>
      </c>
      <c r="C45" s="16"/>
      <c r="D45" s="3"/>
      <c r="E45" s="3"/>
      <c r="F45" s="3"/>
      <c r="G45" s="3"/>
      <c r="H45" s="3"/>
    </row>
    <row r="46" spans="1:8" x14ac:dyDescent="0.25">
      <c r="A46" s="3" t="s">
        <v>1</v>
      </c>
      <c r="B46" s="6" t="s">
        <v>40</v>
      </c>
      <c r="C46" s="16"/>
      <c r="D46" s="3"/>
      <c r="E46" s="3"/>
      <c r="F46" s="3"/>
      <c r="G46" s="3"/>
      <c r="H46" s="3"/>
    </row>
    <row r="47" spans="1:8" x14ac:dyDescent="0.25">
      <c r="A47" s="3" t="s">
        <v>2</v>
      </c>
      <c r="B47" t="s">
        <v>3</v>
      </c>
      <c r="C47" s="16"/>
      <c r="D47" s="3"/>
      <c r="E47" s="3"/>
      <c r="F47" s="3"/>
      <c r="G47" s="3"/>
      <c r="H47" s="3"/>
    </row>
    <row r="48" spans="1:8" x14ac:dyDescent="0.25">
      <c r="A48" s="3" t="s">
        <v>4</v>
      </c>
      <c r="B48" s="9">
        <v>1</v>
      </c>
      <c r="C48" s="16"/>
      <c r="D48" s="3"/>
      <c r="E48" s="3"/>
      <c r="F48" s="3"/>
      <c r="G48" s="3"/>
      <c r="H48" s="3"/>
    </row>
    <row r="49" spans="1:8" x14ac:dyDescent="0.25">
      <c r="A49" s="3" t="s">
        <v>5</v>
      </c>
      <c r="B49" t="s">
        <v>41</v>
      </c>
      <c r="C49" s="16"/>
      <c r="D49" s="3"/>
      <c r="E49" s="3"/>
      <c r="F49" s="3"/>
      <c r="G49" s="3"/>
      <c r="H49" s="3"/>
    </row>
    <row r="50" spans="1:8" x14ac:dyDescent="0.25">
      <c r="A50" s="3" t="s">
        <v>6</v>
      </c>
      <c r="B50" t="s">
        <v>7</v>
      </c>
      <c r="C50" s="16"/>
      <c r="D50" s="3"/>
      <c r="E50" s="3"/>
      <c r="F50" s="3"/>
      <c r="G50" s="3"/>
      <c r="H50" s="3"/>
    </row>
    <row r="51" spans="1:8" x14ac:dyDescent="0.25">
      <c r="A51" s="1" t="s">
        <v>8</v>
      </c>
      <c r="B51" s="3"/>
      <c r="C51" s="16"/>
      <c r="D51" s="3"/>
      <c r="E51" s="3"/>
      <c r="F51" s="3"/>
      <c r="G51" s="3"/>
      <c r="H51" s="3"/>
    </row>
    <row r="52" spans="1:8" x14ac:dyDescent="0.25">
      <c r="A52" s="7" t="s">
        <v>5</v>
      </c>
      <c r="B52" s="6" t="s">
        <v>9</v>
      </c>
      <c r="C52" s="10" t="s">
        <v>10</v>
      </c>
      <c r="D52" s="6" t="s">
        <v>6</v>
      </c>
      <c r="E52" s="6" t="s">
        <v>2</v>
      </c>
      <c r="F52" s="6" t="s">
        <v>12</v>
      </c>
      <c r="G52" s="6" t="s">
        <v>11</v>
      </c>
      <c r="H52" s="7" t="s">
        <v>13</v>
      </c>
    </row>
    <row r="53" spans="1:8" x14ac:dyDescent="0.25">
      <c r="A53" t="s">
        <v>41</v>
      </c>
      <c r="B53" t="s">
        <v>41</v>
      </c>
      <c r="C53" s="11">
        <v>1</v>
      </c>
      <c r="D53" t="s">
        <v>7</v>
      </c>
      <c r="E53" t="s">
        <v>3</v>
      </c>
      <c r="G53" s="21" t="s">
        <v>105</v>
      </c>
      <c r="H53" t="s">
        <v>14</v>
      </c>
    </row>
    <row r="54" spans="1:8" x14ac:dyDescent="0.25">
      <c r="A54" t="s">
        <v>43</v>
      </c>
      <c r="B54" t="s">
        <v>42</v>
      </c>
      <c r="C54" s="12">
        <v>7.6300000000000007E-2</v>
      </c>
      <c r="D54" t="s">
        <v>7</v>
      </c>
      <c r="E54" t="s">
        <v>15</v>
      </c>
      <c r="G54" t="s">
        <v>111</v>
      </c>
      <c r="H54" t="s">
        <v>16</v>
      </c>
    </row>
    <row r="55" spans="1:8" x14ac:dyDescent="0.25">
      <c r="A55" t="s">
        <v>44</v>
      </c>
      <c r="B55" t="s">
        <v>51</v>
      </c>
      <c r="C55" s="10">
        <v>0.156</v>
      </c>
      <c r="D55" t="s">
        <v>7</v>
      </c>
      <c r="E55" t="s">
        <v>15</v>
      </c>
      <c r="G55" t="s">
        <v>111</v>
      </c>
      <c r="H55" t="s">
        <v>16</v>
      </c>
    </row>
    <row r="56" spans="1:8" x14ac:dyDescent="0.25">
      <c r="A56" t="s">
        <v>45</v>
      </c>
      <c r="B56" t="s">
        <v>52</v>
      </c>
      <c r="C56" s="12">
        <v>4.7899999999999998E-2</v>
      </c>
      <c r="D56" t="s">
        <v>7</v>
      </c>
      <c r="E56" t="s">
        <v>15</v>
      </c>
      <c r="G56" t="s">
        <v>111</v>
      </c>
      <c r="H56" t="s">
        <v>16</v>
      </c>
    </row>
    <row r="57" spans="1:8" x14ac:dyDescent="0.25">
      <c r="A57" t="s">
        <v>46</v>
      </c>
      <c r="B57" t="s">
        <v>103</v>
      </c>
      <c r="C57" s="12">
        <v>5.28E-2</v>
      </c>
      <c r="D57" t="s">
        <v>7</v>
      </c>
      <c r="E57" t="s">
        <v>15</v>
      </c>
      <c r="G57" t="s">
        <v>111</v>
      </c>
      <c r="H57" t="s">
        <v>16</v>
      </c>
    </row>
    <row r="58" spans="1:8" x14ac:dyDescent="0.25">
      <c r="A58" t="s">
        <v>47</v>
      </c>
      <c r="B58" t="s">
        <v>53</v>
      </c>
      <c r="C58" s="12">
        <v>8.6099999999999996E-2</v>
      </c>
      <c r="D58" t="s">
        <v>7</v>
      </c>
      <c r="E58" t="s">
        <v>15</v>
      </c>
      <c r="G58" t="s">
        <v>111</v>
      </c>
      <c r="H58" t="s">
        <v>16</v>
      </c>
    </row>
    <row r="59" spans="1:8" x14ac:dyDescent="0.25">
      <c r="A59" t="s">
        <v>48</v>
      </c>
      <c r="B59" t="s">
        <v>54</v>
      </c>
      <c r="C59" s="12">
        <v>3.2300000000000002E-2</v>
      </c>
      <c r="D59" t="s">
        <v>7</v>
      </c>
      <c r="E59" t="s">
        <v>15</v>
      </c>
      <c r="G59" t="s">
        <v>111</v>
      </c>
      <c r="H59" t="s">
        <v>16</v>
      </c>
    </row>
    <row r="60" spans="1:8" x14ac:dyDescent="0.25">
      <c r="A60" t="s">
        <v>49</v>
      </c>
      <c r="B60" t="s">
        <v>55</v>
      </c>
      <c r="C60" s="10">
        <v>0.127</v>
      </c>
      <c r="D60" t="s">
        <v>7</v>
      </c>
      <c r="E60" t="s">
        <v>15</v>
      </c>
      <c r="G60" t="s">
        <v>111</v>
      </c>
      <c r="H60" t="s">
        <v>16</v>
      </c>
    </row>
    <row r="61" spans="1:8" x14ac:dyDescent="0.25">
      <c r="A61" t="s">
        <v>50</v>
      </c>
      <c r="B61" t="s">
        <v>56</v>
      </c>
      <c r="C61" s="10">
        <v>0.42099999999999999</v>
      </c>
      <c r="D61" t="s">
        <v>7</v>
      </c>
      <c r="E61" t="s">
        <v>15</v>
      </c>
      <c r="G61" t="s">
        <v>111</v>
      </c>
      <c r="H61" t="s">
        <v>16</v>
      </c>
    </row>
    <row r="62" spans="1:8" x14ac:dyDescent="0.25">
      <c r="A62" t="s">
        <v>32</v>
      </c>
      <c r="B62" t="s">
        <v>57</v>
      </c>
      <c r="C62" s="13">
        <v>4.6900000000000002E-4</v>
      </c>
      <c r="D62" t="s">
        <v>7</v>
      </c>
      <c r="E62" t="s">
        <v>15</v>
      </c>
      <c r="G62" t="s">
        <v>111</v>
      </c>
      <c r="H62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98A7-421E-4EE1-B228-96CCD2740E23}">
  <dimension ref="A1:H62"/>
  <sheetViews>
    <sheetView zoomScale="85" zoomScaleNormal="85" workbookViewId="0">
      <selection activeCell="A20" sqref="A20:H20"/>
    </sheetView>
  </sheetViews>
  <sheetFormatPr defaultRowHeight="15" x14ac:dyDescent="0.25"/>
  <cols>
    <col min="1" max="1" width="101.140625" bestFit="1" customWidth="1"/>
    <col min="2" max="2" width="100.28515625" customWidth="1"/>
    <col min="3" max="3" width="8" bestFit="1" customWidth="1"/>
    <col min="4" max="4" width="12.85546875" bestFit="1" customWidth="1"/>
    <col min="5" max="5" width="8.140625" bestFit="1" customWidth="1"/>
    <col min="6" max="6" width="34.28515625" bestFit="1" customWidth="1"/>
    <col min="7" max="7" width="24.285156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106</v>
      </c>
      <c r="C1" s="16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40</v>
      </c>
      <c r="C2" s="16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8" x14ac:dyDescent="0.25">
      <c r="A5" s="3" t="s">
        <v>5</v>
      </c>
      <c r="B5" t="s">
        <v>106</v>
      </c>
      <c r="C5" s="16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106</v>
      </c>
      <c r="B9" t="s">
        <v>106</v>
      </c>
      <c r="C9" s="11">
        <v>1</v>
      </c>
      <c r="D9" t="s">
        <v>7</v>
      </c>
      <c r="E9" t="s">
        <v>3</v>
      </c>
      <c r="G9" s="21" t="s">
        <v>105</v>
      </c>
      <c r="H9" t="s">
        <v>14</v>
      </c>
    </row>
    <row r="10" spans="1:8" x14ac:dyDescent="0.25">
      <c r="A10" t="s">
        <v>97</v>
      </c>
      <c r="B10" t="s">
        <v>94</v>
      </c>
      <c r="C10" s="11">
        <v>0.81499999999999995</v>
      </c>
      <c r="D10" t="s">
        <v>7</v>
      </c>
      <c r="E10" t="s">
        <v>3</v>
      </c>
      <c r="G10" s="21" t="s">
        <v>105</v>
      </c>
      <c r="H10" t="s">
        <v>16</v>
      </c>
    </row>
    <row r="11" spans="1:8" x14ac:dyDescent="0.25">
      <c r="A11" t="s">
        <v>91</v>
      </c>
      <c r="B11" t="s">
        <v>91</v>
      </c>
      <c r="C11" s="13">
        <v>5.5099999999999998E-5</v>
      </c>
      <c r="D11" t="s">
        <v>7</v>
      </c>
      <c r="E11" t="s">
        <v>3</v>
      </c>
      <c r="G11" s="21" t="s">
        <v>105</v>
      </c>
      <c r="H11" t="s">
        <v>16</v>
      </c>
    </row>
    <row r="12" spans="1:8" x14ac:dyDescent="0.25">
      <c r="A12" t="s">
        <v>99</v>
      </c>
      <c r="B12" t="s">
        <v>99</v>
      </c>
      <c r="C12" s="11">
        <f>0.149*1000*4182*15/10^6</f>
        <v>9.3467699999999994</v>
      </c>
      <c r="D12" t="s">
        <v>29</v>
      </c>
      <c r="E12" t="s">
        <v>3</v>
      </c>
      <c r="G12" s="21" t="s">
        <v>105</v>
      </c>
      <c r="H12" t="s">
        <v>16</v>
      </c>
    </row>
    <row r="13" spans="1:8" x14ac:dyDescent="0.25">
      <c r="A13" t="s">
        <v>104</v>
      </c>
      <c r="B13" t="s">
        <v>104</v>
      </c>
      <c r="C13" s="11">
        <v>0.17599999999999999</v>
      </c>
      <c r="D13" t="s">
        <v>7</v>
      </c>
      <c r="E13" t="s">
        <v>3</v>
      </c>
      <c r="G13" s="21" t="s">
        <v>105</v>
      </c>
      <c r="H13" t="s">
        <v>16</v>
      </c>
    </row>
    <row r="14" spans="1:8" x14ac:dyDescent="0.25">
      <c r="A14" t="s">
        <v>25</v>
      </c>
      <c r="B14" t="s">
        <v>18</v>
      </c>
      <c r="C14" s="13">
        <v>3.29E-10</v>
      </c>
      <c r="D14" t="s">
        <v>6</v>
      </c>
      <c r="E14" t="s">
        <v>3</v>
      </c>
      <c r="G14" t="s">
        <v>111</v>
      </c>
      <c r="H14" t="s">
        <v>16</v>
      </c>
    </row>
    <row r="15" spans="1:8" x14ac:dyDescent="0.25">
      <c r="A15" t="s">
        <v>33</v>
      </c>
      <c r="B15" t="s">
        <v>34</v>
      </c>
      <c r="C15" s="11">
        <v>0.55600000000000005</v>
      </c>
      <c r="D15" t="s">
        <v>35</v>
      </c>
      <c r="E15" t="s">
        <v>3</v>
      </c>
      <c r="G15" t="s">
        <v>111</v>
      </c>
      <c r="H15" t="s">
        <v>16</v>
      </c>
    </row>
    <row r="16" spans="1:8" x14ac:dyDescent="0.25">
      <c r="A16" t="s">
        <v>31</v>
      </c>
      <c r="B16" t="s">
        <v>30</v>
      </c>
      <c r="C16" s="13">
        <v>-5.5099999999999998E-5</v>
      </c>
      <c r="D16" t="s">
        <v>7</v>
      </c>
      <c r="E16" t="s">
        <v>15</v>
      </c>
      <c r="G16" t="s">
        <v>111</v>
      </c>
      <c r="H16" t="s">
        <v>16</v>
      </c>
    </row>
    <row r="17" spans="1:8" x14ac:dyDescent="0.25">
      <c r="B17" t="s">
        <v>90</v>
      </c>
      <c r="C17" s="13">
        <v>7.67E-4</v>
      </c>
      <c r="D17" t="s">
        <v>7</v>
      </c>
      <c r="F17" t="s">
        <v>22</v>
      </c>
      <c r="G17" t="s">
        <v>102</v>
      </c>
      <c r="H17" t="s">
        <v>19</v>
      </c>
    </row>
    <row r="18" spans="1:8" x14ac:dyDescent="0.25">
      <c r="B18" t="s">
        <v>39</v>
      </c>
      <c r="C18" s="12">
        <v>1.6299999999999999E-3</v>
      </c>
      <c r="D18" t="s">
        <v>7</v>
      </c>
      <c r="F18" t="s">
        <v>22</v>
      </c>
      <c r="G18" t="s">
        <v>102</v>
      </c>
      <c r="H18" t="s">
        <v>19</v>
      </c>
    </row>
    <row r="19" spans="1:8" x14ac:dyDescent="0.25">
      <c r="B19" t="s">
        <v>21</v>
      </c>
      <c r="C19" s="12">
        <v>1E-3</v>
      </c>
      <c r="D19" t="s">
        <v>7</v>
      </c>
      <c r="F19" t="s">
        <v>22</v>
      </c>
      <c r="G19" t="s">
        <v>102</v>
      </c>
      <c r="H19" t="s">
        <v>19</v>
      </c>
    </row>
    <row r="20" spans="1:8" x14ac:dyDescent="0.25">
      <c r="B20" t="s">
        <v>86</v>
      </c>
      <c r="C20" s="12">
        <f>47.6/1000</f>
        <v>4.7600000000000003E-2</v>
      </c>
      <c r="D20" t="s">
        <v>17</v>
      </c>
      <c r="F20" t="s">
        <v>22</v>
      </c>
      <c r="G20" t="s">
        <v>102</v>
      </c>
      <c r="H20" t="s">
        <v>19</v>
      </c>
    </row>
    <row r="21" spans="1:8" x14ac:dyDescent="0.25">
      <c r="B21" t="s">
        <v>86</v>
      </c>
      <c r="C21" s="12">
        <f>101/1000</f>
        <v>0.10100000000000001</v>
      </c>
      <c r="D21" t="s">
        <v>17</v>
      </c>
      <c r="F21" t="s">
        <v>87</v>
      </c>
      <c r="G21" t="s">
        <v>102</v>
      </c>
      <c r="H21" t="s">
        <v>19</v>
      </c>
    </row>
    <row r="22" spans="1:8" x14ac:dyDescent="0.25">
      <c r="A22" s="2"/>
      <c r="B22" s="2"/>
      <c r="C22" s="17"/>
      <c r="D22" s="2"/>
      <c r="E22" s="2"/>
      <c r="F22" s="2"/>
      <c r="G22" s="2"/>
      <c r="H22" s="2"/>
    </row>
    <row r="23" spans="1:8" x14ac:dyDescent="0.25">
      <c r="A23" s="1" t="s">
        <v>0</v>
      </c>
      <c r="B23" s="8" t="s">
        <v>94</v>
      </c>
      <c r="C23" s="16"/>
      <c r="D23" s="3"/>
      <c r="E23" s="3"/>
      <c r="F23" s="3"/>
      <c r="G23" s="3"/>
      <c r="H23" s="3"/>
    </row>
    <row r="24" spans="1:8" x14ac:dyDescent="0.25">
      <c r="A24" s="3" t="s">
        <v>1</v>
      </c>
      <c r="B24" s="6" t="s">
        <v>40</v>
      </c>
      <c r="C24" s="16"/>
      <c r="D24" s="3"/>
      <c r="E24" s="3"/>
      <c r="F24" s="3"/>
      <c r="G24" s="3"/>
      <c r="H24" s="3"/>
    </row>
    <row r="25" spans="1:8" x14ac:dyDescent="0.25">
      <c r="A25" s="3" t="s">
        <v>2</v>
      </c>
      <c r="B25" t="s">
        <v>3</v>
      </c>
      <c r="C25" s="16"/>
      <c r="D25" s="3"/>
      <c r="E25" s="3"/>
      <c r="F25" s="3"/>
      <c r="G25" s="3"/>
      <c r="H25" s="3"/>
    </row>
    <row r="26" spans="1:8" x14ac:dyDescent="0.25">
      <c r="A26" s="3" t="s">
        <v>4</v>
      </c>
      <c r="B26" s="9">
        <v>1</v>
      </c>
      <c r="C26" s="16"/>
      <c r="D26" s="3"/>
      <c r="E26" s="3"/>
      <c r="F26" s="3"/>
      <c r="G26" s="3"/>
      <c r="H26" s="3"/>
    </row>
    <row r="27" spans="1:8" x14ac:dyDescent="0.25">
      <c r="A27" s="3" t="s">
        <v>5</v>
      </c>
      <c r="B27" t="s">
        <v>97</v>
      </c>
      <c r="C27" s="16"/>
      <c r="D27" s="3"/>
      <c r="E27" s="3"/>
      <c r="F27" s="3"/>
      <c r="G27" s="3"/>
      <c r="H27" s="3"/>
    </row>
    <row r="28" spans="1:8" x14ac:dyDescent="0.25">
      <c r="A28" s="3" t="s">
        <v>6</v>
      </c>
      <c r="B28" t="s">
        <v>7</v>
      </c>
      <c r="C28" s="16"/>
      <c r="D28" s="3"/>
      <c r="E28" s="3"/>
      <c r="F28" s="3"/>
      <c r="G28" s="3"/>
      <c r="H28" s="3"/>
    </row>
    <row r="29" spans="1:8" x14ac:dyDescent="0.25">
      <c r="A29" s="1" t="s">
        <v>8</v>
      </c>
      <c r="B29" s="3"/>
      <c r="C29" s="16"/>
      <c r="D29" s="3"/>
      <c r="E29" s="3"/>
      <c r="F29" s="3"/>
      <c r="G29" s="3"/>
      <c r="H29" s="3"/>
    </row>
    <row r="30" spans="1:8" x14ac:dyDescent="0.25">
      <c r="A30" s="7" t="s">
        <v>5</v>
      </c>
      <c r="B30" s="6" t="s">
        <v>9</v>
      </c>
      <c r="C30" s="10" t="s">
        <v>10</v>
      </c>
      <c r="D30" s="6" t="s">
        <v>6</v>
      </c>
      <c r="E30" s="6" t="s">
        <v>2</v>
      </c>
      <c r="F30" s="6" t="s">
        <v>12</v>
      </c>
      <c r="G30" s="6" t="s">
        <v>11</v>
      </c>
      <c r="H30" s="7" t="s">
        <v>13</v>
      </c>
    </row>
    <row r="31" spans="1:8" x14ac:dyDescent="0.25">
      <c r="A31" t="s">
        <v>97</v>
      </c>
      <c r="B31" t="s">
        <v>94</v>
      </c>
      <c r="C31" s="12">
        <v>1</v>
      </c>
      <c r="D31" t="s">
        <v>7</v>
      </c>
      <c r="E31" t="s">
        <v>3</v>
      </c>
      <c r="G31" s="21" t="s">
        <v>105</v>
      </c>
      <c r="H31" s="3" t="s">
        <v>14</v>
      </c>
    </row>
    <row r="32" spans="1:8" x14ac:dyDescent="0.25">
      <c r="A32" t="s">
        <v>99</v>
      </c>
      <c r="B32" t="s">
        <v>99</v>
      </c>
      <c r="C32" s="12">
        <f>0.004*1000*4182*15/10^6</f>
        <v>0.25091999999999998</v>
      </c>
      <c r="D32" t="s">
        <v>29</v>
      </c>
      <c r="E32" t="s">
        <v>3</v>
      </c>
      <c r="G32" s="21" t="s">
        <v>105</v>
      </c>
      <c r="H32" t="s">
        <v>16</v>
      </c>
    </row>
    <row r="33" spans="1:8" x14ac:dyDescent="0.25">
      <c r="A33" s="19" t="s">
        <v>96</v>
      </c>
      <c r="B33" s="14" t="s">
        <v>95</v>
      </c>
      <c r="C33" s="20">
        <v>4.4321789115451698E-10</v>
      </c>
      <c r="D33" s="14" t="s">
        <v>6</v>
      </c>
      <c r="E33" t="s">
        <v>15</v>
      </c>
      <c r="G33" t="s">
        <v>111</v>
      </c>
      <c r="H33" t="s">
        <v>16</v>
      </c>
    </row>
    <row r="34" spans="1:8" x14ac:dyDescent="0.25">
      <c r="B34" s="14" t="s">
        <v>86</v>
      </c>
      <c r="C34" s="12">
        <f>2.45/1000</f>
        <v>2.4500000000000004E-3</v>
      </c>
      <c r="D34" s="14" t="s">
        <v>17</v>
      </c>
      <c r="F34" t="s">
        <v>87</v>
      </c>
      <c r="G34" t="s">
        <v>102</v>
      </c>
      <c r="H34" t="s">
        <v>19</v>
      </c>
    </row>
    <row r="35" spans="1:8" x14ac:dyDescent="0.25">
      <c r="A35" s="2"/>
      <c r="B35" s="2"/>
      <c r="C35" s="17"/>
      <c r="D35" s="2"/>
      <c r="E35" s="2"/>
      <c r="F35" s="2"/>
      <c r="G35" s="2"/>
      <c r="H35" s="2"/>
    </row>
    <row r="36" spans="1:8" x14ac:dyDescent="0.25">
      <c r="A36" s="1" t="s">
        <v>0</v>
      </c>
      <c r="B36" s="8" t="s">
        <v>91</v>
      </c>
      <c r="C36" s="16"/>
      <c r="D36" s="3"/>
      <c r="E36" s="3"/>
      <c r="F36" s="3"/>
      <c r="G36" s="3"/>
      <c r="H36" s="3"/>
    </row>
    <row r="37" spans="1:8" x14ac:dyDescent="0.25">
      <c r="A37" s="3" t="s">
        <v>1</v>
      </c>
      <c r="B37" s="6" t="s">
        <v>40</v>
      </c>
      <c r="C37" s="16"/>
      <c r="D37" s="3"/>
      <c r="E37" s="3"/>
      <c r="F37" s="3"/>
      <c r="G37" s="3"/>
      <c r="H37" s="3"/>
    </row>
    <row r="38" spans="1:8" x14ac:dyDescent="0.25">
      <c r="A38" s="3" t="s">
        <v>2</v>
      </c>
      <c r="B38" t="s">
        <v>3</v>
      </c>
      <c r="C38" s="16"/>
      <c r="D38" s="3"/>
      <c r="E38" s="3"/>
      <c r="F38" s="3"/>
      <c r="G38" s="3"/>
      <c r="H38" s="3"/>
    </row>
    <row r="39" spans="1:8" x14ac:dyDescent="0.25">
      <c r="A39" s="3" t="s">
        <v>4</v>
      </c>
      <c r="B39" s="9">
        <v>1</v>
      </c>
      <c r="C39" s="16"/>
      <c r="D39" s="3"/>
      <c r="E39" s="3"/>
      <c r="F39" s="3"/>
      <c r="G39" s="3"/>
      <c r="H39" s="3"/>
    </row>
    <row r="40" spans="1:8" x14ac:dyDescent="0.25">
      <c r="A40" s="3" t="s">
        <v>5</v>
      </c>
      <c r="B40" t="s">
        <v>91</v>
      </c>
      <c r="C40" s="16"/>
      <c r="D40" s="3"/>
      <c r="E40" s="3"/>
      <c r="F40" s="3"/>
      <c r="G40" s="3"/>
      <c r="H40" s="3"/>
    </row>
    <row r="41" spans="1:8" x14ac:dyDescent="0.25">
      <c r="A41" s="3" t="s">
        <v>6</v>
      </c>
      <c r="B41" t="s">
        <v>7</v>
      </c>
      <c r="C41" s="16"/>
      <c r="D41" s="3"/>
      <c r="E41" s="3"/>
      <c r="F41" s="3"/>
      <c r="G41" s="3"/>
      <c r="H41" s="3"/>
    </row>
    <row r="42" spans="1:8" x14ac:dyDescent="0.25">
      <c r="A42" s="1" t="s">
        <v>8</v>
      </c>
      <c r="B42" s="3"/>
      <c r="C42" s="16"/>
      <c r="D42" s="3"/>
      <c r="E42" s="3"/>
      <c r="F42" s="3"/>
      <c r="G42" s="3"/>
      <c r="H42" s="3"/>
    </row>
    <row r="43" spans="1:8" x14ac:dyDescent="0.25">
      <c r="A43" s="7" t="s">
        <v>5</v>
      </c>
      <c r="B43" s="6" t="s">
        <v>9</v>
      </c>
      <c r="C43" s="10" t="s">
        <v>10</v>
      </c>
      <c r="D43" s="6" t="s">
        <v>6</v>
      </c>
      <c r="E43" s="6" t="s">
        <v>2</v>
      </c>
      <c r="F43" s="6" t="s">
        <v>12</v>
      </c>
      <c r="G43" s="6" t="s">
        <v>11</v>
      </c>
      <c r="H43" s="7" t="s">
        <v>13</v>
      </c>
    </row>
    <row r="44" spans="1:8" x14ac:dyDescent="0.25">
      <c r="A44" t="s">
        <v>91</v>
      </c>
      <c r="B44" t="s">
        <v>91</v>
      </c>
      <c r="C44" s="11">
        <v>1</v>
      </c>
      <c r="D44" t="s">
        <v>7</v>
      </c>
      <c r="E44" t="s">
        <v>3</v>
      </c>
      <c r="F44" s="3"/>
      <c r="G44" s="21" t="s">
        <v>105</v>
      </c>
      <c r="H44" t="s">
        <v>14</v>
      </c>
    </row>
    <row r="45" spans="1:8" x14ac:dyDescent="0.25">
      <c r="A45" t="s">
        <v>84</v>
      </c>
      <c r="B45" t="s">
        <v>83</v>
      </c>
      <c r="C45" s="12">
        <v>0.97099999999999997</v>
      </c>
      <c r="D45" t="s">
        <v>7</v>
      </c>
      <c r="E45" t="s">
        <v>3</v>
      </c>
      <c r="G45" t="s">
        <v>111</v>
      </c>
      <c r="H45" t="s">
        <v>16</v>
      </c>
    </row>
    <row r="46" spans="1:8" x14ac:dyDescent="0.25">
      <c r="A46" t="s">
        <v>93</v>
      </c>
      <c r="B46" t="s">
        <v>92</v>
      </c>
      <c r="C46" s="12">
        <v>0.03</v>
      </c>
      <c r="D46" t="s">
        <v>7</v>
      </c>
      <c r="E46" t="s">
        <v>15</v>
      </c>
      <c r="G46" t="s">
        <v>111</v>
      </c>
      <c r="H46" t="s">
        <v>16</v>
      </c>
    </row>
    <row r="47" spans="1:8" x14ac:dyDescent="0.25">
      <c r="A47" t="s">
        <v>24</v>
      </c>
      <c r="B47" t="s">
        <v>85</v>
      </c>
      <c r="C47" s="12">
        <v>5.2499999999999998E-2</v>
      </c>
      <c r="D47" t="s">
        <v>7</v>
      </c>
      <c r="E47" t="s">
        <v>15</v>
      </c>
      <c r="G47" t="s">
        <v>111</v>
      </c>
      <c r="H47" t="s">
        <v>16</v>
      </c>
    </row>
    <row r="48" spans="1:8" x14ac:dyDescent="0.25">
      <c r="A48" t="s">
        <v>33</v>
      </c>
      <c r="B48" t="s">
        <v>34</v>
      </c>
      <c r="C48" s="12">
        <v>1.78</v>
      </c>
      <c r="D48" t="s">
        <v>35</v>
      </c>
      <c r="E48" t="s">
        <v>3</v>
      </c>
      <c r="G48" t="s">
        <v>111</v>
      </c>
      <c r="H48" t="s">
        <v>16</v>
      </c>
    </row>
    <row r="49" spans="1:8" x14ac:dyDescent="0.25">
      <c r="A49" s="2"/>
      <c r="B49" s="2"/>
      <c r="C49" s="17"/>
      <c r="D49" s="2"/>
      <c r="E49" s="2"/>
      <c r="F49" s="2"/>
      <c r="G49" s="2"/>
      <c r="H49" s="2"/>
    </row>
    <row r="50" spans="1:8" x14ac:dyDescent="0.25">
      <c r="A50" s="1" t="s">
        <v>0</v>
      </c>
      <c r="B50" s="8" t="s">
        <v>99</v>
      </c>
      <c r="C50" s="16"/>
      <c r="D50" s="3"/>
      <c r="E50" s="3"/>
      <c r="F50" s="3"/>
      <c r="G50" s="3"/>
      <c r="H50" s="3"/>
    </row>
    <row r="51" spans="1:8" x14ac:dyDescent="0.25">
      <c r="A51" s="3" t="s">
        <v>1</v>
      </c>
      <c r="B51" s="6" t="s">
        <v>100</v>
      </c>
      <c r="C51" s="16"/>
      <c r="D51" s="3"/>
      <c r="E51" s="3"/>
      <c r="F51" s="3"/>
      <c r="G51" s="3"/>
      <c r="H51" s="3"/>
    </row>
    <row r="52" spans="1:8" x14ac:dyDescent="0.25">
      <c r="A52" s="3" t="s">
        <v>2</v>
      </c>
      <c r="B52" t="s">
        <v>3</v>
      </c>
      <c r="C52" s="16"/>
      <c r="D52" s="3"/>
      <c r="E52" s="3"/>
      <c r="F52" s="3"/>
      <c r="G52" s="3"/>
      <c r="H52" s="3"/>
    </row>
    <row r="53" spans="1:8" x14ac:dyDescent="0.25">
      <c r="A53" s="3" t="s">
        <v>4</v>
      </c>
      <c r="B53" s="9">
        <v>1</v>
      </c>
      <c r="C53" s="16"/>
      <c r="D53" s="3"/>
      <c r="E53" s="3"/>
      <c r="F53" s="3"/>
      <c r="G53" s="3"/>
      <c r="H53" s="3"/>
    </row>
    <row r="54" spans="1:8" x14ac:dyDescent="0.25">
      <c r="A54" s="3" t="s">
        <v>5</v>
      </c>
      <c r="B54" t="s">
        <v>99</v>
      </c>
      <c r="C54" s="16"/>
      <c r="D54" s="3"/>
      <c r="E54" s="3"/>
      <c r="F54" s="3"/>
      <c r="G54" s="3"/>
      <c r="H54" s="3"/>
    </row>
    <row r="55" spans="1:8" x14ac:dyDescent="0.25">
      <c r="A55" s="3" t="s">
        <v>6</v>
      </c>
      <c r="B55" t="s">
        <v>29</v>
      </c>
      <c r="C55" s="16"/>
      <c r="D55" s="3"/>
      <c r="E55" s="3"/>
      <c r="F55" s="3"/>
      <c r="G55" s="3"/>
      <c r="H55" s="3"/>
    </row>
    <row r="56" spans="1:8" x14ac:dyDescent="0.25">
      <c r="A56" s="1" t="s">
        <v>8</v>
      </c>
      <c r="B56" s="3"/>
      <c r="C56" s="16"/>
      <c r="D56" s="3"/>
      <c r="E56" s="3"/>
      <c r="F56" s="3"/>
      <c r="G56" s="3"/>
      <c r="H56" s="3"/>
    </row>
    <row r="57" spans="1:8" x14ac:dyDescent="0.25">
      <c r="A57" s="7" t="s">
        <v>5</v>
      </c>
      <c r="B57" s="6" t="s">
        <v>9</v>
      </c>
      <c r="C57" s="10" t="s">
        <v>10</v>
      </c>
      <c r="D57" s="6" t="s">
        <v>6</v>
      </c>
      <c r="E57" s="6" t="s">
        <v>2</v>
      </c>
      <c r="F57" s="6" t="s">
        <v>12</v>
      </c>
      <c r="G57" s="6" t="s">
        <v>11</v>
      </c>
      <c r="H57" s="7" t="s">
        <v>13</v>
      </c>
    </row>
    <row r="58" spans="1:8" x14ac:dyDescent="0.25">
      <c r="A58" t="s">
        <v>99</v>
      </c>
      <c r="B58" t="s">
        <v>99</v>
      </c>
      <c r="C58" s="11">
        <v>1</v>
      </c>
      <c r="D58" t="s">
        <v>29</v>
      </c>
      <c r="E58" t="s">
        <v>3</v>
      </c>
      <c r="F58" s="3"/>
      <c r="G58" s="21" t="s">
        <v>105</v>
      </c>
      <c r="H58" t="s">
        <v>14</v>
      </c>
    </row>
    <row r="59" spans="1:8" x14ac:dyDescent="0.25">
      <c r="A59" t="s">
        <v>33</v>
      </c>
      <c r="B59" t="s">
        <v>34</v>
      </c>
      <c r="C59" s="11">
        <f>0.000553</f>
        <v>5.53E-4</v>
      </c>
      <c r="D59" t="s">
        <v>35</v>
      </c>
      <c r="E59" t="s">
        <v>3</v>
      </c>
      <c r="G59" t="s">
        <v>111</v>
      </c>
      <c r="H59" t="s">
        <v>16</v>
      </c>
    </row>
    <row r="60" spans="1:8" x14ac:dyDescent="0.25">
      <c r="B60" t="s">
        <v>86</v>
      </c>
      <c r="C60" s="12">
        <f>6.18/1000</f>
        <v>6.1799999999999997E-3</v>
      </c>
      <c r="D60" t="s">
        <v>17</v>
      </c>
      <c r="F60" t="s">
        <v>22</v>
      </c>
      <c r="G60" t="s">
        <v>102</v>
      </c>
      <c r="H60" t="s">
        <v>19</v>
      </c>
    </row>
    <row r="61" spans="1:8" x14ac:dyDescent="0.25">
      <c r="B61" t="s">
        <v>86</v>
      </c>
      <c r="C61" s="12">
        <f>9.76/1000</f>
        <v>9.7599999999999996E-3</v>
      </c>
      <c r="D61" t="s">
        <v>17</v>
      </c>
      <c r="F61" t="s">
        <v>87</v>
      </c>
      <c r="G61" t="s">
        <v>102</v>
      </c>
      <c r="H61" t="s">
        <v>19</v>
      </c>
    </row>
    <row r="62" spans="1:8" x14ac:dyDescent="0.25">
      <c r="B62" t="s">
        <v>20</v>
      </c>
      <c r="C62" s="12">
        <f>15.94/1000</f>
        <v>1.5939999999999999E-2</v>
      </c>
      <c r="D62" t="s">
        <v>17</v>
      </c>
      <c r="F62" t="s">
        <v>28</v>
      </c>
      <c r="G62" t="s">
        <v>102</v>
      </c>
      <c r="H62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D5B7-6BDB-4C5E-BE6E-870683E782C1}">
  <dimension ref="A1:H63"/>
  <sheetViews>
    <sheetView workbookViewId="0">
      <selection activeCell="B18" sqref="B18"/>
    </sheetView>
  </sheetViews>
  <sheetFormatPr defaultRowHeight="15" x14ac:dyDescent="0.25"/>
  <cols>
    <col min="1" max="1" width="52.85546875" bestFit="1" customWidth="1"/>
    <col min="2" max="2" width="69.5703125" bestFit="1" customWidth="1"/>
    <col min="3" max="3" width="8.2851562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44.57031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109</v>
      </c>
      <c r="C1" s="16"/>
      <c r="D1" s="3"/>
      <c r="E1" s="3"/>
      <c r="F1" s="3"/>
      <c r="G1" s="3"/>
      <c r="H1" s="3"/>
    </row>
    <row r="2" spans="1:8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8" x14ac:dyDescent="0.25">
      <c r="A5" s="3" t="s">
        <v>5</v>
      </c>
      <c r="B5" t="s">
        <v>109</v>
      </c>
      <c r="C5" s="16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109</v>
      </c>
      <c r="B9" t="s">
        <v>109</v>
      </c>
      <c r="C9" s="11">
        <v>1</v>
      </c>
      <c r="D9" t="s">
        <v>7</v>
      </c>
      <c r="E9" t="s">
        <v>3</v>
      </c>
      <c r="G9" s="21" t="s">
        <v>105</v>
      </c>
      <c r="H9" t="s">
        <v>14</v>
      </c>
    </row>
    <row r="10" spans="1:8" x14ac:dyDescent="0.25">
      <c r="A10" t="s">
        <v>108</v>
      </c>
      <c r="B10" t="s">
        <v>107</v>
      </c>
      <c r="C10" s="11">
        <v>0.81841178436562323</v>
      </c>
      <c r="D10" t="s">
        <v>7</v>
      </c>
      <c r="E10" t="s">
        <v>15</v>
      </c>
      <c r="G10" t="s">
        <v>111</v>
      </c>
      <c r="H10" t="s">
        <v>16</v>
      </c>
    </row>
    <row r="11" spans="1:8" x14ac:dyDescent="0.25">
      <c r="A11" t="s">
        <v>89</v>
      </c>
      <c r="B11" t="s">
        <v>88</v>
      </c>
      <c r="C11" s="12">
        <v>-1.3561295696621E-3</v>
      </c>
      <c r="D11" t="s">
        <v>17</v>
      </c>
      <c r="E11" t="s">
        <v>15</v>
      </c>
      <c r="G11" t="s">
        <v>111</v>
      </c>
      <c r="H11" t="s">
        <v>16</v>
      </c>
    </row>
    <row r="12" spans="1:8" x14ac:dyDescent="0.25">
      <c r="A12" t="s">
        <v>33</v>
      </c>
      <c r="B12" t="s">
        <v>34</v>
      </c>
      <c r="C12" s="12">
        <v>5.0274869072994263E-2</v>
      </c>
      <c r="D12" t="s">
        <v>35</v>
      </c>
      <c r="E12" t="s">
        <v>3</v>
      </c>
      <c r="G12" t="s">
        <v>111</v>
      </c>
      <c r="H12" t="s">
        <v>16</v>
      </c>
    </row>
    <row r="13" spans="1:8" x14ac:dyDescent="0.25">
      <c r="A13" t="s">
        <v>99</v>
      </c>
      <c r="B13" t="s">
        <v>99</v>
      </c>
      <c r="C13" s="11">
        <v>4.5210811135469591</v>
      </c>
      <c r="D13" t="s">
        <v>29</v>
      </c>
      <c r="E13" t="s">
        <v>3</v>
      </c>
      <c r="G13" s="21" t="s">
        <v>105</v>
      </c>
      <c r="H13" t="s">
        <v>16</v>
      </c>
    </row>
    <row r="14" spans="1:8" x14ac:dyDescent="0.25">
      <c r="A14" s="2"/>
      <c r="B14" s="2"/>
      <c r="C14" s="17"/>
      <c r="D14" s="2"/>
      <c r="E14" s="2"/>
      <c r="F14" s="2"/>
      <c r="G14" s="2"/>
      <c r="H14" s="2"/>
    </row>
    <row r="15" spans="1:8" x14ac:dyDescent="0.25">
      <c r="A15" s="1" t="s">
        <v>0</v>
      </c>
      <c r="B15" s="8" t="s">
        <v>110</v>
      </c>
      <c r="C15" s="16"/>
      <c r="D15" s="3"/>
      <c r="E15" s="3"/>
      <c r="F15" s="3"/>
      <c r="G15" s="3"/>
      <c r="H15" s="3"/>
    </row>
    <row r="16" spans="1:8" x14ac:dyDescent="0.25">
      <c r="A16" s="3" t="s">
        <v>1</v>
      </c>
      <c r="B16" s="6"/>
      <c r="C16" s="16"/>
      <c r="D16" s="3"/>
      <c r="E16" s="3"/>
      <c r="F16" s="3"/>
      <c r="G16" s="3"/>
      <c r="H16" s="3"/>
    </row>
    <row r="17" spans="1:8" x14ac:dyDescent="0.25">
      <c r="A17" s="3" t="s">
        <v>2</v>
      </c>
      <c r="B17" t="s">
        <v>3</v>
      </c>
      <c r="C17" s="16"/>
      <c r="D17" s="3"/>
      <c r="E17" s="3"/>
      <c r="F17" s="3"/>
      <c r="G17" s="3"/>
      <c r="H17" s="3"/>
    </row>
    <row r="18" spans="1:8" x14ac:dyDescent="0.25">
      <c r="A18" s="3" t="s">
        <v>4</v>
      </c>
      <c r="B18" s="9">
        <v>1</v>
      </c>
      <c r="C18" s="16"/>
      <c r="D18" s="3"/>
      <c r="E18" s="3"/>
      <c r="F18" s="3"/>
      <c r="G18" s="3"/>
      <c r="H18" s="3"/>
    </row>
    <row r="19" spans="1:8" x14ac:dyDescent="0.25">
      <c r="A19" s="3" t="s">
        <v>5</v>
      </c>
      <c r="B19" t="s">
        <v>110</v>
      </c>
      <c r="C19" s="16"/>
      <c r="D19" s="3"/>
      <c r="E19" s="3"/>
      <c r="F19" s="3"/>
      <c r="G19" s="3"/>
      <c r="H19" s="3"/>
    </row>
    <row r="20" spans="1:8" x14ac:dyDescent="0.25">
      <c r="A20" s="3" t="s">
        <v>6</v>
      </c>
      <c r="B20" t="s">
        <v>7</v>
      </c>
      <c r="C20" s="16"/>
      <c r="D20" s="3"/>
      <c r="E20" s="3"/>
      <c r="F20" s="3"/>
      <c r="G20" s="3"/>
      <c r="H20" s="3"/>
    </row>
    <row r="21" spans="1:8" x14ac:dyDescent="0.25">
      <c r="A21" s="1" t="s">
        <v>8</v>
      </c>
      <c r="B21" s="3"/>
      <c r="C21" s="16"/>
      <c r="D21" s="3"/>
      <c r="E21" s="3"/>
      <c r="F21" s="3"/>
      <c r="G21" s="3"/>
      <c r="H21" s="3"/>
    </row>
    <row r="22" spans="1:8" x14ac:dyDescent="0.25">
      <c r="A22" s="7" t="s">
        <v>5</v>
      </c>
      <c r="B22" s="6" t="s">
        <v>9</v>
      </c>
      <c r="C22" s="10" t="s">
        <v>10</v>
      </c>
      <c r="D22" s="6" t="s">
        <v>6</v>
      </c>
      <c r="E22" s="6" t="s">
        <v>2</v>
      </c>
      <c r="F22" s="6" t="s">
        <v>12</v>
      </c>
      <c r="G22" s="6" t="s">
        <v>11</v>
      </c>
      <c r="H22" s="7" t="s">
        <v>13</v>
      </c>
    </row>
    <row r="23" spans="1:8" x14ac:dyDescent="0.25">
      <c r="A23" t="s">
        <v>110</v>
      </c>
      <c r="B23" t="s">
        <v>110</v>
      </c>
      <c r="C23" s="11">
        <v>1</v>
      </c>
      <c r="D23" t="s">
        <v>7</v>
      </c>
      <c r="E23" t="s">
        <v>3</v>
      </c>
      <c r="G23" s="21" t="s">
        <v>105</v>
      </c>
      <c r="H23" t="s">
        <v>14</v>
      </c>
    </row>
    <row r="24" spans="1:8" x14ac:dyDescent="0.25">
      <c r="A24" t="s">
        <v>106</v>
      </c>
      <c r="B24" t="s">
        <v>106</v>
      </c>
      <c r="C24" s="11">
        <v>0.81841178436562323</v>
      </c>
      <c r="D24" t="s">
        <v>7</v>
      </c>
      <c r="E24" t="s">
        <v>3</v>
      </c>
      <c r="G24" s="21" t="s">
        <v>105</v>
      </c>
      <c r="H24" t="s">
        <v>16</v>
      </c>
    </row>
    <row r="25" spans="1:8" x14ac:dyDescent="0.25">
      <c r="A25" t="s">
        <v>89</v>
      </c>
      <c r="B25" t="s">
        <v>88</v>
      </c>
      <c r="C25" s="12">
        <v>-1.3561295696621E-3</v>
      </c>
      <c r="D25" t="s">
        <v>17</v>
      </c>
      <c r="E25" t="s">
        <v>15</v>
      </c>
      <c r="G25" t="s">
        <v>111</v>
      </c>
      <c r="H25" t="s">
        <v>16</v>
      </c>
    </row>
    <row r="26" spans="1:8" x14ac:dyDescent="0.25">
      <c r="A26" t="s">
        <v>33</v>
      </c>
      <c r="B26" t="s">
        <v>34</v>
      </c>
      <c r="C26" s="12">
        <v>5.0274869072994263E-2</v>
      </c>
      <c r="D26" t="s">
        <v>35</v>
      </c>
      <c r="E26" t="s">
        <v>3</v>
      </c>
      <c r="G26" t="s">
        <v>111</v>
      </c>
      <c r="H26" t="s">
        <v>16</v>
      </c>
    </row>
    <row r="27" spans="1:8" x14ac:dyDescent="0.25">
      <c r="A27" t="s">
        <v>99</v>
      </c>
      <c r="B27" t="s">
        <v>99</v>
      </c>
      <c r="C27" s="11">
        <v>4.5210811135469591</v>
      </c>
      <c r="D27" t="s">
        <v>29</v>
      </c>
      <c r="E27" t="s">
        <v>3</v>
      </c>
      <c r="G27" s="21" t="s">
        <v>105</v>
      </c>
      <c r="H27" t="s">
        <v>16</v>
      </c>
    </row>
    <row r="28" spans="1:8" x14ac:dyDescent="0.25">
      <c r="A28" s="2"/>
      <c r="B28" s="2"/>
      <c r="C28" s="17"/>
      <c r="D28" s="2"/>
      <c r="E28" s="2"/>
      <c r="F28" s="2"/>
      <c r="G28" s="2"/>
      <c r="H28" s="2"/>
    </row>
    <row r="29" spans="1:8" x14ac:dyDescent="0.25">
      <c r="A29" s="1" t="s">
        <v>0</v>
      </c>
      <c r="B29" s="8" t="s">
        <v>112</v>
      </c>
      <c r="C29" s="16"/>
      <c r="D29" s="3"/>
      <c r="E29" s="3"/>
      <c r="F29" s="3"/>
      <c r="G29" s="3"/>
      <c r="H29" s="3"/>
    </row>
    <row r="30" spans="1:8" x14ac:dyDescent="0.25">
      <c r="A30" s="3" t="s">
        <v>1</v>
      </c>
      <c r="B30" s="6"/>
      <c r="C30" s="16"/>
      <c r="D30" s="3"/>
      <c r="E30" s="3"/>
      <c r="F30" s="3"/>
      <c r="G30" s="3"/>
      <c r="H30" s="3"/>
    </row>
    <row r="31" spans="1:8" x14ac:dyDescent="0.25">
      <c r="A31" s="3" t="s">
        <v>2</v>
      </c>
      <c r="B31" t="s">
        <v>3</v>
      </c>
      <c r="C31" s="16"/>
      <c r="D31" s="3"/>
      <c r="E31" s="3"/>
      <c r="F31" s="3"/>
      <c r="G31" s="3"/>
      <c r="H31" s="3"/>
    </row>
    <row r="32" spans="1:8" x14ac:dyDescent="0.25">
      <c r="A32" s="3" t="s">
        <v>4</v>
      </c>
      <c r="B32" s="9">
        <v>1</v>
      </c>
      <c r="C32" s="16"/>
      <c r="D32" s="3"/>
      <c r="E32" s="3"/>
      <c r="F32" s="3"/>
      <c r="G32" s="3"/>
      <c r="H32" s="3"/>
    </row>
    <row r="33" spans="1:8" x14ac:dyDescent="0.25">
      <c r="A33" s="3" t="s">
        <v>5</v>
      </c>
      <c r="B33" t="s">
        <v>112</v>
      </c>
      <c r="C33" s="16"/>
      <c r="D33" s="3"/>
      <c r="E33" s="3"/>
      <c r="F33" s="3"/>
      <c r="G33" s="3"/>
      <c r="H33" s="3"/>
    </row>
    <row r="34" spans="1:8" x14ac:dyDescent="0.25">
      <c r="A34" s="3" t="s">
        <v>6</v>
      </c>
      <c r="B34" t="s">
        <v>7</v>
      </c>
      <c r="C34" s="16"/>
      <c r="D34" s="3"/>
      <c r="E34" s="3"/>
      <c r="F34" s="3"/>
      <c r="G34" s="3"/>
      <c r="H34" s="3"/>
    </row>
    <row r="35" spans="1:8" x14ac:dyDescent="0.25">
      <c r="A35" s="1" t="s">
        <v>8</v>
      </c>
      <c r="B35" s="3"/>
      <c r="C35" s="16"/>
      <c r="D35" s="3"/>
      <c r="E35" s="3"/>
      <c r="F35" s="3"/>
      <c r="G35" s="3"/>
      <c r="H35" s="3"/>
    </row>
    <row r="36" spans="1:8" x14ac:dyDescent="0.25">
      <c r="A36" s="7" t="s">
        <v>5</v>
      </c>
      <c r="B36" s="6" t="s">
        <v>9</v>
      </c>
      <c r="C36" s="10" t="s">
        <v>10</v>
      </c>
      <c r="D36" s="6" t="s">
        <v>6</v>
      </c>
      <c r="E36" s="6" t="s">
        <v>2</v>
      </c>
      <c r="F36" s="6" t="s">
        <v>12</v>
      </c>
      <c r="G36" s="6" t="s">
        <v>11</v>
      </c>
      <c r="H36" s="7" t="s">
        <v>13</v>
      </c>
    </row>
    <row r="37" spans="1:8" x14ac:dyDescent="0.25">
      <c r="A37" t="s">
        <v>112</v>
      </c>
      <c r="B37" t="s">
        <v>112</v>
      </c>
      <c r="C37" s="11">
        <v>1</v>
      </c>
      <c r="D37" t="s">
        <v>7</v>
      </c>
      <c r="E37" t="s">
        <v>3</v>
      </c>
      <c r="G37" s="21" t="s">
        <v>105</v>
      </c>
      <c r="H37" t="s">
        <v>14</v>
      </c>
    </row>
    <row r="38" spans="1:8" x14ac:dyDescent="0.25">
      <c r="A38" t="s">
        <v>108</v>
      </c>
      <c r="B38" t="s">
        <v>107</v>
      </c>
      <c r="C38" s="11">
        <v>0.96854616228089385</v>
      </c>
      <c r="D38" t="s">
        <v>7</v>
      </c>
      <c r="E38" t="s">
        <v>15</v>
      </c>
      <c r="G38" t="s">
        <v>111</v>
      </c>
      <c r="H38" t="s">
        <v>16</v>
      </c>
    </row>
    <row r="39" spans="1:8" x14ac:dyDescent="0.25">
      <c r="A39" t="s">
        <v>89</v>
      </c>
      <c r="B39" t="s">
        <v>88</v>
      </c>
      <c r="C39" s="12">
        <v>-1.5899795617732801E-3</v>
      </c>
      <c r="D39" t="s">
        <v>17</v>
      </c>
      <c r="E39" t="s">
        <v>15</v>
      </c>
      <c r="G39" t="s">
        <v>111</v>
      </c>
      <c r="H39" t="s">
        <v>16</v>
      </c>
    </row>
    <row r="40" spans="1:8" x14ac:dyDescent="0.25">
      <c r="A40" t="s">
        <v>33</v>
      </c>
      <c r="B40" t="s">
        <v>34</v>
      </c>
      <c r="C40" s="12">
        <v>6.5803725096832189E-2</v>
      </c>
      <c r="D40" t="s">
        <v>35</v>
      </c>
      <c r="E40" t="s">
        <v>3</v>
      </c>
      <c r="G40" t="s">
        <v>111</v>
      </c>
      <c r="H40" t="s">
        <v>16</v>
      </c>
    </row>
    <row r="41" spans="1:8" x14ac:dyDescent="0.25">
      <c r="A41" t="s">
        <v>99</v>
      </c>
      <c r="B41" t="s">
        <v>99</v>
      </c>
      <c r="C41" s="11">
        <v>19.451798344592323</v>
      </c>
      <c r="D41" t="s">
        <v>29</v>
      </c>
      <c r="E41" t="s">
        <v>3</v>
      </c>
      <c r="G41" s="21" t="s">
        <v>105</v>
      </c>
      <c r="H41" t="s">
        <v>16</v>
      </c>
    </row>
    <row r="42" spans="1:8" x14ac:dyDescent="0.25">
      <c r="A42" t="s">
        <v>115</v>
      </c>
      <c r="B42" t="s">
        <v>116</v>
      </c>
      <c r="C42" s="11">
        <v>0.57280190681669141</v>
      </c>
      <c r="D42" t="s">
        <v>29</v>
      </c>
      <c r="E42" t="s">
        <v>117</v>
      </c>
      <c r="G42" s="21" t="s">
        <v>111</v>
      </c>
      <c r="H42" t="s">
        <v>16</v>
      </c>
    </row>
    <row r="43" spans="1:8" x14ac:dyDescent="0.25">
      <c r="B43" t="s">
        <v>101</v>
      </c>
      <c r="C43" s="12">
        <v>8.5167437462212083E-3</v>
      </c>
      <c r="D43" s="22" t="s">
        <v>7</v>
      </c>
      <c r="F43" t="s">
        <v>22</v>
      </c>
      <c r="G43" t="s">
        <v>102</v>
      </c>
      <c r="H43" t="s">
        <v>19</v>
      </c>
    </row>
    <row r="44" spans="1:8" x14ac:dyDescent="0.25">
      <c r="B44" t="s">
        <v>114</v>
      </c>
      <c r="C44" s="23">
        <v>1.5175217048085957E-5</v>
      </c>
      <c r="D44" s="22" t="s">
        <v>7</v>
      </c>
      <c r="F44" t="s">
        <v>22</v>
      </c>
      <c r="G44" t="s">
        <v>102</v>
      </c>
      <c r="H44" t="s">
        <v>19</v>
      </c>
    </row>
    <row r="45" spans="1:8" x14ac:dyDescent="0.25">
      <c r="B45" t="s">
        <v>21</v>
      </c>
      <c r="C45" s="12">
        <v>6.7533182458830068E-2</v>
      </c>
      <c r="D45" s="22" t="s">
        <v>7</v>
      </c>
      <c r="F45" t="s">
        <v>22</v>
      </c>
      <c r="G45" t="s">
        <v>102</v>
      </c>
      <c r="H45" t="s">
        <v>19</v>
      </c>
    </row>
    <row r="46" spans="1:8" x14ac:dyDescent="0.25">
      <c r="A46" s="2"/>
      <c r="B46" s="2"/>
      <c r="C46" s="17"/>
      <c r="D46" s="2"/>
      <c r="E46" s="2"/>
      <c r="F46" s="2"/>
      <c r="G46" s="2"/>
      <c r="H46" s="2"/>
    </row>
    <row r="47" spans="1:8" x14ac:dyDescent="0.25">
      <c r="A47" s="1" t="s">
        <v>0</v>
      </c>
      <c r="B47" s="8" t="s">
        <v>113</v>
      </c>
      <c r="C47" s="16"/>
      <c r="D47" s="3"/>
      <c r="E47" s="3"/>
      <c r="F47" s="3"/>
      <c r="G47" s="3"/>
      <c r="H47" s="3"/>
    </row>
    <row r="48" spans="1:8" x14ac:dyDescent="0.25">
      <c r="A48" s="3" t="s">
        <v>1</v>
      </c>
      <c r="B48" s="6"/>
      <c r="C48" s="16"/>
      <c r="D48" s="3"/>
      <c r="E48" s="3"/>
      <c r="F48" s="3"/>
      <c r="G48" s="3"/>
      <c r="H48" s="3"/>
    </row>
    <row r="49" spans="1:8" x14ac:dyDescent="0.25">
      <c r="A49" s="3" t="s">
        <v>2</v>
      </c>
      <c r="B49" t="s">
        <v>3</v>
      </c>
      <c r="C49" s="16"/>
      <c r="D49" s="3"/>
      <c r="E49" s="3"/>
      <c r="F49" s="3"/>
      <c r="G49" s="3"/>
      <c r="H49" s="3"/>
    </row>
    <row r="50" spans="1:8" x14ac:dyDescent="0.25">
      <c r="A50" s="3" t="s">
        <v>4</v>
      </c>
      <c r="B50" s="9">
        <v>1</v>
      </c>
      <c r="C50" s="16"/>
      <c r="D50" s="3"/>
      <c r="E50" s="3"/>
      <c r="F50" s="3"/>
      <c r="G50" s="3"/>
      <c r="H50" s="3"/>
    </row>
    <row r="51" spans="1:8" x14ac:dyDescent="0.25">
      <c r="A51" s="3" t="s">
        <v>5</v>
      </c>
      <c r="B51" t="s">
        <v>113</v>
      </c>
      <c r="C51" s="16"/>
      <c r="D51" s="3"/>
      <c r="E51" s="3"/>
      <c r="F51" s="3"/>
      <c r="G51" s="3"/>
      <c r="H51" s="3"/>
    </row>
    <row r="52" spans="1:8" x14ac:dyDescent="0.25">
      <c r="A52" s="3" t="s">
        <v>6</v>
      </c>
      <c r="B52" t="s">
        <v>7</v>
      </c>
      <c r="C52" s="16"/>
      <c r="D52" s="3"/>
      <c r="E52" s="3"/>
      <c r="F52" s="3"/>
      <c r="G52" s="3"/>
      <c r="H52" s="3"/>
    </row>
    <row r="53" spans="1:8" x14ac:dyDescent="0.25">
      <c r="A53" s="1" t="s">
        <v>8</v>
      </c>
      <c r="B53" s="3"/>
      <c r="C53" s="16"/>
      <c r="D53" s="3"/>
      <c r="E53" s="3"/>
      <c r="F53" s="3"/>
      <c r="G53" s="3"/>
      <c r="H53" s="3"/>
    </row>
    <row r="54" spans="1:8" x14ac:dyDescent="0.25">
      <c r="A54" s="7" t="s">
        <v>5</v>
      </c>
      <c r="B54" s="6" t="s">
        <v>9</v>
      </c>
      <c r="C54" s="10" t="s">
        <v>10</v>
      </c>
      <c r="D54" s="6" t="s">
        <v>6</v>
      </c>
      <c r="E54" s="6" t="s">
        <v>2</v>
      </c>
      <c r="F54" s="6" t="s">
        <v>12</v>
      </c>
      <c r="G54" s="6" t="s">
        <v>11</v>
      </c>
      <c r="H54" s="7" t="s">
        <v>13</v>
      </c>
    </row>
    <row r="55" spans="1:8" x14ac:dyDescent="0.25">
      <c r="A55" t="s">
        <v>113</v>
      </c>
      <c r="B55" t="s">
        <v>113</v>
      </c>
      <c r="C55" s="11">
        <v>1</v>
      </c>
      <c r="D55" t="s">
        <v>7</v>
      </c>
      <c r="E55" t="s">
        <v>3</v>
      </c>
      <c r="G55" s="21" t="s">
        <v>105</v>
      </c>
      <c r="H55" t="s">
        <v>14</v>
      </c>
    </row>
    <row r="56" spans="1:8" x14ac:dyDescent="0.25">
      <c r="A56" t="s">
        <v>106</v>
      </c>
      <c r="B56" t="s">
        <v>106</v>
      </c>
      <c r="C56" s="11">
        <v>0.96854616228089385</v>
      </c>
      <c r="D56" t="s">
        <v>7</v>
      </c>
      <c r="E56" t="s">
        <v>3</v>
      </c>
      <c r="G56" s="21" t="s">
        <v>105</v>
      </c>
      <c r="H56" t="s">
        <v>16</v>
      </c>
    </row>
    <row r="57" spans="1:8" x14ac:dyDescent="0.25">
      <c r="A57" t="s">
        <v>89</v>
      </c>
      <c r="B57" t="s">
        <v>88</v>
      </c>
      <c r="C57" s="12">
        <v>-1.5899795617732801E-3</v>
      </c>
      <c r="D57" t="s">
        <v>17</v>
      </c>
      <c r="E57" t="s">
        <v>15</v>
      </c>
      <c r="G57" t="s">
        <v>111</v>
      </c>
      <c r="H57" t="s">
        <v>16</v>
      </c>
    </row>
    <row r="58" spans="1:8" x14ac:dyDescent="0.25">
      <c r="A58" t="s">
        <v>33</v>
      </c>
      <c r="B58" t="s">
        <v>34</v>
      </c>
      <c r="C58" s="12">
        <v>6.5803725096832189E-2</v>
      </c>
      <c r="D58" t="s">
        <v>35</v>
      </c>
      <c r="E58" t="s">
        <v>3</v>
      </c>
      <c r="G58" t="s">
        <v>111</v>
      </c>
      <c r="H58" t="s">
        <v>16</v>
      </c>
    </row>
    <row r="59" spans="1:8" x14ac:dyDescent="0.25">
      <c r="A59" t="s">
        <v>99</v>
      </c>
      <c r="B59" t="s">
        <v>99</v>
      </c>
      <c r="C59" s="11">
        <v>19.451798344592323</v>
      </c>
      <c r="D59" t="s">
        <v>29</v>
      </c>
      <c r="E59" t="s">
        <v>3</v>
      </c>
      <c r="G59" s="21" t="s">
        <v>105</v>
      </c>
      <c r="H59" t="s">
        <v>16</v>
      </c>
    </row>
    <row r="60" spans="1:8" x14ac:dyDescent="0.25">
      <c r="A60" t="s">
        <v>115</v>
      </c>
      <c r="B60" t="s">
        <v>116</v>
      </c>
      <c r="C60" s="11">
        <v>0.57280190681669141</v>
      </c>
      <c r="D60" t="s">
        <v>29</v>
      </c>
      <c r="E60" t="s">
        <v>117</v>
      </c>
      <c r="G60" s="21" t="s">
        <v>111</v>
      </c>
      <c r="H60" t="s">
        <v>16</v>
      </c>
    </row>
    <row r="61" spans="1:8" x14ac:dyDescent="0.25">
      <c r="B61" t="s">
        <v>101</v>
      </c>
      <c r="C61" s="12">
        <v>8.5167437462212083E-3</v>
      </c>
      <c r="D61" s="22" t="s">
        <v>7</v>
      </c>
      <c r="F61" t="s">
        <v>22</v>
      </c>
      <c r="G61" t="s">
        <v>102</v>
      </c>
      <c r="H61" t="s">
        <v>19</v>
      </c>
    </row>
    <row r="62" spans="1:8" x14ac:dyDescent="0.25">
      <c r="B62" t="s">
        <v>114</v>
      </c>
      <c r="C62" s="23">
        <v>1.5175217048085957E-5</v>
      </c>
      <c r="D62" s="22" t="s">
        <v>7</v>
      </c>
      <c r="F62" t="s">
        <v>22</v>
      </c>
      <c r="G62" t="s">
        <v>102</v>
      </c>
      <c r="H62" t="s">
        <v>19</v>
      </c>
    </row>
    <row r="63" spans="1:8" x14ac:dyDescent="0.25">
      <c r="B63" t="s">
        <v>21</v>
      </c>
      <c r="C63" s="12">
        <v>6.7533182458830068E-2</v>
      </c>
      <c r="D63" s="22" t="s">
        <v>7</v>
      </c>
      <c r="F63" t="s">
        <v>22</v>
      </c>
      <c r="G63" t="s">
        <v>102</v>
      </c>
      <c r="H63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5634-5AF1-473B-AC78-6B82FA75D54C}">
  <dimension ref="A1:H39"/>
  <sheetViews>
    <sheetView tabSelected="1" workbookViewId="0">
      <selection activeCell="G25" sqref="G25"/>
    </sheetView>
  </sheetViews>
  <sheetFormatPr defaultRowHeight="15" x14ac:dyDescent="0.25"/>
  <cols>
    <col min="1" max="1" width="52.85546875" bestFit="1" customWidth="1"/>
    <col min="2" max="2" width="99.42578125" bestFit="1" customWidth="1"/>
    <col min="3" max="3" width="8.2851562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118</v>
      </c>
      <c r="C1" s="16"/>
      <c r="D1" s="3"/>
      <c r="E1" s="3"/>
      <c r="F1" s="3"/>
      <c r="G1" s="3"/>
      <c r="H1" s="3"/>
    </row>
    <row r="2" spans="1:8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8" x14ac:dyDescent="0.25">
      <c r="A5" s="3" t="s">
        <v>5</v>
      </c>
      <c r="B5" t="s">
        <v>118</v>
      </c>
      <c r="C5" s="16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118</v>
      </c>
      <c r="B9" t="s">
        <v>118</v>
      </c>
      <c r="C9" s="11">
        <v>1</v>
      </c>
      <c r="D9" t="s">
        <v>7</v>
      </c>
      <c r="E9" t="s">
        <v>3</v>
      </c>
      <c r="G9" s="21" t="s">
        <v>105</v>
      </c>
      <c r="H9" t="s">
        <v>14</v>
      </c>
    </row>
    <row r="10" spans="1:8" x14ac:dyDescent="0.25">
      <c r="A10" t="s">
        <v>122</v>
      </c>
      <c r="B10" t="s">
        <v>123</v>
      </c>
      <c r="C10" s="12">
        <v>6.5856585494280195E-2</v>
      </c>
      <c r="D10" t="s">
        <v>7</v>
      </c>
      <c r="E10" t="s">
        <v>15</v>
      </c>
      <c r="G10" t="s">
        <v>111</v>
      </c>
      <c r="H10" t="s">
        <v>16</v>
      </c>
    </row>
    <row r="11" spans="1:8" x14ac:dyDescent="0.25">
      <c r="A11" t="s">
        <v>120</v>
      </c>
      <c r="B11" t="s">
        <v>121</v>
      </c>
      <c r="C11" s="12">
        <v>3.0874916157909655E-3</v>
      </c>
      <c r="D11" t="s">
        <v>7</v>
      </c>
      <c r="E11" t="s">
        <v>3</v>
      </c>
      <c r="G11" t="s">
        <v>111</v>
      </c>
      <c r="H11" t="s">
        <v>16</v>
      </c>
    </row>
    <row r="12" spans="1:8" x14ac:dyDescent="0.25">
      <c r="A12" t="s">
        <v>126</v>
      </c>
      <c r="B12" t="s">
        <v>125</v>
      </c>
      <c r="C12" s="12">
        <v>1.9300000000000001E-3</v>
      </c>
      <c r="D12" t="s">
        <v>7</v>
      </c>
      <c r="E12" s="3" t="s">
        <v>15</v>
      </c>
      <c r="G12" t="s">
        <v>111</v>
      </c>
      <c r="H12" t="s">
        <v>16</v>
      </c>
    </row>
    <row r="13" spans="1:8" x14ac:dyDescent="0.25">
      <c r="A13" t="s">
        <v>89</v>
      </c>
      <c r="B13" t="s">
        <v>88</v>
      </c>
      <c r="C13" s="12">
        <v>-5.7016971421526401E-4</v>
      </c>
      <c r="D13" t="s">
        <v>17</v>
      </c>
      <c r="E13" t="s">
        <v>15</v>
      </c>
      <c r="G13" t="s">
        <v>111</v>
      </c>
      <c r="H13" t="s">
        <v>16</v>
      </c>
    </row>
    <row r="14" spans="1:8" x14ac:dyDescent="0.25">
      <c r="A14" t="s">
        <v>33</v>
      </c>
      <c r="B14" t="s">
        <v>34</v>
      </c>
      <c r="C14" s="12">
        <v>8.8525186072921841E-2</v>
      </c>
      <c r="D14" t="s">
        <v>35</v>
      </c>
      <c r="E14" t="s">
        <v>3</v>
      </c>
      <c r="G14" t="s">
        <v>111</v>
      </c>
      <c r="H14" t="s">
        <v>16</v>
      </c>
    </row>
    <row r="15" spans="1:8" x14ac:dyDescent="0.25">
      <c r="A15" t="s">
        <v>99</v>
      </c>
      <c r="B15" t="s">
        <v>99</v>
      </c>
      <c r="C15" s="11">
        <v>2.8004251669216531</v>
      </c>
      <c r="D15" t="s">
        <v>29</v>
      </c>
      <c r="E15" t="s">
        <v>3</v>
      </c>
      <c r="G15" s="21" t="s">
        <v>105</v>
      </c>
      <c r="H15" t="s">
        <v>16</v>
      </c>
    </row>
    <row r="16" spans="1:8" x14ac:dyDescent="0.25">
      <c r="A16" s="3" t="s">
        <v>37</v>
      </c>
      <c r="B16" t="s">
        <v>36</v>
      </c>
      <c r="C16" s="11">
        <v>1.9247124104337052</v>
      </c>
      <c r="D16" s="3" t="s">
        <v>29</v>
      </c>
      <c r="E16" s="3" t="s">
        <v>15</v>
      </c>
      <c r="G16" t="s">
        <v>111</v>
      </c>
      <c r="H16" t="s">
        <v>16</v>
      </c>
    </row>
    <row r="17" spans="1:8" x14ac:dyDescent="0.25">
      <c r="B17" t="s">
        <v>90</v>
      </c>
      <c r="C17" s="11">
        <v>6.5561271222166857E-3</v>
      </c>
      <c r="D17" t="s">
        <v>7</v>
      </c>
      <c r="F17" t="s">
        <v>22</v>
      </c>
      <c r="G17" t="s">
        <v>102</v>
      </c>
      <c r="H17" t="s">
        <v>19</v>
      </c>
    </row>
    <row r="18" spans="1:8" x14ac:dyDescent="0.25">
      <c r="B18" t="s">
        <v>124</v>
      </c>
      <c r="C18" s="11">
        <f>2.9831*C11</f>
        <v>9.2102962390660289E-3</v>
      </c>
      <c r="D18" t="s">
        <v>7</v>
      </c>
      <c r="F18" t="s">
        <v>22</v>
      </c>
      <c r="G18" t="s">
        <v>102</v>
      </c>
      <c r="H18" t="s">
        <v>19</v>
      </c>
    </row>
    <row r="19" spans="1:8" x14ac:dyDescent="0.25">
      <c r="B19" t="s">
        <v>86</v>
      </c>
      <c r="C19" s="12">
        <f>0.4576*C11</f>
        <v>1.4128361633859458E-3</v>
      </c>
      <c r="D19" t="s">
        <v>17</v>
      </c>
      <c r="F19" t="s">
        <v>22</v>
      </c>
      <c r="G19" t="s">
        <v>102</v>
      </c>
      <c r="H19" t="s">
        <v>19</v>
      </c>
    </row>
    <row r="20" spans="1:8" x14ac:dyDescent="0.25">
      <c r="A20" s="2"/>
      <c r="B20" s="2"/>
      <c r="C20" s="17"/>
      <c r="D20" s="2"/>
      <c r="E20" s="2"/>
      <c r="F20" s="2"/>
      <c r="G20" s="2"/>
      <c r="H20" s="2"/>
    </row>
    <row r="21" spans="1:8" x14ac:dyDescent="0.25">
      <c r="A21" s="1" t="s">
        <v>0</v>
      </c>
      <c r="B21" s="8" t="s">
        <v>119</v>
      </c>
      <c r="C21" s="16"/>
      <c r="D21" s="3"/>
      <c r="E21" s="3"/>
      <c r="F21" s="3"/>
      <c r="G21" s="3"/>
      <c r="H21" s="3"/>
    </row>
    <row r="22" spans="1:8" x14ac:dyDescent="0.25">
      <c r="A22" s="3" t="s">
        <v>1</v>
      </c>
      <c r="B22" s="6"/>
      <c r="C22" s="16"/>
      <c r="D22" s="3"/>
      <c r="E22" s="3"/>
      <c r="F22" s="3"/>
      <c r="G22" s="3"/>
      <c r="H22" s="3"/>
    </row>
    <row r="23" spans="1:8" x14ac:dyDescent="0.25">
      <c r="A23" s="3" t="s">
        <v>2</v>
      </c>
      <c r="B23" t="s">
        <v>3</v>
      </c>
      <c r="C23" s="16"/>
      <c r="D23" s="3"/>
      <c r="E23" s="3"/>
      <c r="F23" s="3"/>
      <c r="G23" s="3"/>
      <c r="H23" s="3"/>
    </row>
    <row r="24" spans="1:8" x14ac:dyDescent="0.25">
      <c r="A24" s="3" t="s">
        <v>4</v>
      </c>
      <c r="B24" s="9">
        <v>1</v>
      </c>
      <c r="C24" s="16"/>
      <c r="D24" s="3"/>
      <c r="E24" s="3"/>
      <c r="F24" s="3"/>
      <c r="G24" s="3"/>
      <c r="H24" s="3"/>
    </row>
    <row r="25" spans="1:8" x14ac:dyDescent="0.25">
      <c r="A25" s="3" t="s">
        <v>5</v>
      </c>
      <c r="B25" t="s">
        <v>119</v>
      </c>
      <c r="C25" s="16"/>
      <c r="D25" s="3"/>
      <c r="E25" s="3"/>
      <c r="F25" s="3"/>
      <c r="G25" s="3"/>
      <c r="H25" s="3"/>
    </row>
    <row r="26" spans="1:8" x14ac:dyDescent="0.25">
      <c r="A26" s="3" t="s">
        <v>6</v>
      </c>
      <c r="B26" t="s">
        <v>7</v>
      </c>
      <c r="C26" s="16"/>
      <c r="D26" s="3"/>
      <c r="E26" s="3"/>
      <c r="F26" s="3"/>
      <c r="G26" s="3"/>
      <c r="H26" s="3"/>
    </row>
    <row r="27" spans="1:8" x14ac:dyDescent="0.25">
      <c r="A27" s="1" t="s">
        <v>8</v>
      </c>
      <c r="B27" s="3"/>
      <c r="C27" s="16"/>
      <c r="D27" s="3"/>
      <c r="E27" s="3"/>
      <c r="F27" s="3"/>
      <c r="G27" s="3"/>
      <c r="H27" s="3"/>
    </row>
    <row r="28" spans="1:8" x14ac:dyDescent="0.25">
      <c r="A28" s="7" t="s">
        <v>5</v>
      </c>
      <c r="B28" s="6" t="s">
        <v>9</v>
      </c>
      <c r="C28" s="10" t="s">
        <v>10</v>
      </c>
      <c r="D28" s="6" t="s">
        <v>6</v>
      </c>
      <c r="E28" s="6" t="s">
        <v>2</v>
      </c>
      <c r="F28" s="6" t="s">
        <v>12</v>
      </c>
      <c r="G28" s="6" t="s">
        <v>11</v>
      </c>
      <c r="H28" s="7" t="s">
        <v>13</v>
      </c>
    </row>
    <row r="29" spans="1:8" x14ac:dyDescent="0.25">
      <c r="A29" t="s">
        <v>119</v>
      </c>
      <c r="B29" t="s">
        <v>119</v>
      </c>
      <c r="C29" s="11">
        <v>1</v>
      </c>
      <c r="D29" t="s">
        <v>7</v>
      </c>
      <c r="E29" t="s">
        <v>3</v>
      </c>
      <c r="G29" s="21" t="s">
        <v>105</v>
      </c>
      <c r="H29" t="s">
        <v>14</v>
      </c>
    </row>
    <row r="30" spans="1:8" x14ac:dyDescent="0.25">
      <c r="A30" t="s">
        <v>104</v>
      </c>
      <c r="B30" t="s">
        <v>104</v>
      </c>
      <c r="C30" s="11">
        <v>6.5856585494280209E-2</v>
      </c>
      <c r="D30" t="s">
        <v>7</v>
      </c>
      <c r="E30" t="s">
        <v>3</v>
      </c>
      <c r="G30" s="21" t="s">
        <v>105</v>
      </c>
      <c r="H30" t="s">
        <v>16</v>
      </c>
    </row>
    <row r="31" spans="1:8" x14ac:dyDescent="0.25">
      <c r="A31" t="s">
        <v>120</v>
      </c>
      <c r="B31" t="s">
        <v>121</v>
      </c>
      <c r="C31" s="12">
        <v>3.0874916157909655E-3</v>
      </c>
      <c r="D31" t="s">
        <v>7</v>
      </c>
      <c r="E31" t="s">
        <v>3</v>
      </c>
      <c r="G31" t="s">
        <v>111</v>
      </c>
      <c r="H31" t="s">
        <v>16</v>
      </c>
    </row>
    <row r="32" spans="1:8" x14ac:dyDescent="0.25">
      <c r="A32" t="s">
        <v>126</v>
      </c>
      <c r="B32" t="s">
        <v>125</v>
      </c>
      <c r="C32" s="12">
        <v>1.9300000000000001E-3</v>
      </c>
      <c r="D32" t="s">
        <v>7</v>
      </c>
      <c r="E32" s="3" t="s">
        <v>15</v>
      </c>
      <c r="G32" t="s">
        <v>111</v>
      </c>
      <c r="H32" t="s">
        <v>16</v>
      </c>
    </row>
    <row r="33" spans="1:8" x14ac:dyDescent="0.25">
      <c r="A33" t="s">
        <v>89</v>
      </c>
      <c r="B33" t="s">
        <v>88</v>
      </c>
      <c r="C33" s="12">
        <v>-5.7016971421526401E-4</v>
      </c>
      <c r="D33" t="s">
        <v>17</v>
      </c>
      <c r="E33" t="s">
        <v>15</v>
      </c>
      <c r="G33" t="s">
        <v>111</v>
      </c>
      <c r="H33" t="s">
        <v>16</v>
      </c>
    </row>
    <row r="34" spans="1:8" x14ac:dyDescent="0.25">
      <c r="A34" t="s">
        <v>33</v>
      </c>
      <c r="B34" t="s">
        <v>34</v>
      </c>
      <c r="C34" s="12">
        <v>8.8525186072921841E-2</v>
      </c>
      <c r="D34" t="s">
        <v>35</v>
      </c>
      <c r="E34" t="s">
        <v>3</v>
      </c>
      <c r="G34" t="s">
        <v>111</v>
      </c>
      <c r="H34" t="s">
        <v>16</v>
      </c>
    </row>
    <row r="35" spans="1:8" x14ac:dyDescent="0.25">
      <c r="A35" t="s">
        <v>99</v>
      </c>
      <c r="B35" t="s">
        <v>99</v>
      </c>
      <c r="C35" s="11">
        <v>2.8004251669216531</v>
      </c>
      <c r="D35" t="s">
        <v>29</v>
      </c>
      <c r="E35" t="s">
        <v>3</v>
      </c>
      <c r="G35" s="21" t="s">
        <v>105</v>
      </c>
      <c r="H35" t="s">
        <v>16</v>
      </c>
    </row>
    <row r="36" spans="1:8" x14ac:dyDescent="0.25">
      <c r="A36" s="3" t="s">
        <v>37</v>
      </c>
      <c r="B36" t="s">
        <v>36</v>
      </c>
      <c r="C36" s="11">
        <v>1.9247124104337052</v>
      </c>
      <c r="D36" s="3" t="s">
        <v>29</v>
      </c>
      <c r="E36" s="3" t="s">
        <v>15</v>
      </c>
      <c r="G36" t="s">
        <v>111</v>
      </c>
      <c r="H36" t="s">
        <v>16</v>
      </c>
    </row>
    <row r="37" spans="1:8" x14ac:dyDescent="0.25">
      <c r="B37" t="s">
        <v>90</v>
      </c>
      <c r="C37" s="11">
        <v>6.5561271222166857E-3</v>
      </c>
      <c r="D37" t="s">
        <v>7</v>
      </c>
      <c r="F37" t="s">
        <v>22</v>
      </c>
      <c r="G37" t="s">
        <v>102</v>
      </c>
      <c r="H37" t="s">
        <v>19</v>
      </c>
    </row>
    <row r="38" spans="1:8" x14ac:dyDescent="0.25">
      <c r="B38" t="s">
        <v>124</v>
      </c>
      <c r="C38" s="11">
        <f>2.9831*C31</f>
        <v>9.2102962390660289E-3</v>
      </c>
      <c r="D38" t="s">
        <v>7</v>
      </c>
      <c r="F38" t="s">
        <v>22</v>
      </c>
      <c r="G38" t="s">
        <v>102</v>
      </c>
      <c r="H38" t="s">
        <v>19</v>
      </c>
    </row>
    <row r="39" spans="1:8" x14ac:dyDescent="0.25">
      <c r="B39" t="s">
        <v>86</v>
      </c>
      <c r="C39" s="12">
        <f>0.4576*C31</f>
        <v>1.4128361633859458E-3</v>
      </c>
      <c r="D39" t="s">
        <v>17</v>
      </c>
      <c r="F39" t="s">
        <v>22</v>
      </c>
      <c r="G39" t="s">
        <v>102</v>
      </c>
      <c r="H39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hydrogen</vt:lpstr>
      <vt:lpstr>ammonia</vt:lpstr>
      <vt:lpstr>nitrous_oxide</vt:lpstr>
      <vt:lpstr>hydrogen_peroxide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2025-02-16T18:40:21Z</dcterms:modified>
</cp:coreProperties>
</file>