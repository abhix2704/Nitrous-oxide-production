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C72ED081-8AC5-4B3C-B6D8-44990764B7F7}" xr6:coauthVersionLast="36" xr6:coauthVersionMax="36" xr10:uidLastSave="{00000000-0000-0000-0000-000000000000}"/>
  <bookViews>
    <workbookView xWindow="0" yWindow="0" windowWidth="23040" windowHeight="9060" xr2:uid="{B157D900-312F-45CE-97D5-25C07FB39BFF}"/>
  </bookViews>
  <sheets>
    <sheet name="BAU without pollution" sheetId="2" r:id="rId1"/>
    <sheet name="AON 86% selectivity" sheetId="4" r:id="rId2"/>
    <sheet name="Reference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C7" i="4" s="1"/>
  <c r="C9" i="4" l="1"/>
  <c r="C13" i="4"/>
  <c r="C10" i="4" l="1"/>
  <c r="C4" i="2"/>
  <c r="C11" i="4" l="1"/>
  <c r="C12" i="4"/>
  <c r="C7" i="2"/>
  <c r="C9" i="2" l="1"/>
  <c r="C10" i="2" s="1"/>
  <c r="C12" i="2" s="1"/>
  <c r="C13" i="2"/>
  <c r="C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A5" authorId="0" shapeId="0" xr:uid="{D9B4C7FD-F613-4C72-BA18-46A58A3CA2E3}">
      <text>
        <r>
          <rPr>
            <b/>
            <sz val="9"/>
            <color indexed="81"/>
            <rFont val="Tahoma"/>
            <charset val="1"/>
          </rPr>
          <t>Nabera  Abhinandan:</t>
        </r>
        <r>
          <rPr>
            <sz val="9"/>
            <color indexed="81"/>
            <rFont val="Tahoma"/>
            <charset val="1"/>
          </rPr>
          <t xml:space="preserve">
cannot use this because it isi a solid.</t>
        </r>
      </text>
    </comment>
  </commentList>
</comments>
</file>

<file path=xl/sharedStrings.xml><?xml version="1.0" encoding="utf-8"?>
<sst xmlns="http://schemas.openxmlformats.org/spreadsheetml/2006/main" count="104" uniqueCount="45">
  <si>
    <t>Book:</t>
  </si>
  <si>
    <t>Chemical Process Safety Fundamentals with Applications-Prentice Hall (2011)</t>
  </si>
  <si>
    <t>eta</t>
  </si>
  <si>
    <t>Parameter</t>
  </si>
  <si>
    <t>Description</t>
  </si>
  <si>
    <t>Value</t>
  </si>
  <si>
    <t>Emperical explosion efficiency</t>
  </si>
  <si>
    <t>https://web.cas.org/customercontent/ammoniumnitrate</t>
  </si>
  <si>
    <t>m</t>
  </si>
  <si>
    <t>M</t>
  </si>
  <si>
    <t>Unit</t>
  </si>
  <si>
    <t>-</t>
  </si>
  <si>
    <t>Molar mass of ammonium nitrate</t>
  </si>
  <si>
    <t>kg/kmol</t>
  </si>
  <si>
    <t>Mass of fuel used</t>
  </si>
  <si>
    <t>kg/hr</t>
  </si>
  <si>
    <t>From Aspen simulation assuming a plant capacity of 300 kt/year</t>
  </si>
  <si>
    <t>deltaHc</t>
  </si>
  <si>
    <t>Heat of combustion of reaction</t>
  </si>
  <si>
    <t>kJ/kg</t>
  </si>
  <si>
    <t>mTNT</t>
  </si>
  <si>
    <t>Equivalent mass of TNT</t>
  </si>
  <si>
    <t>ETNT</t>
  </si>
  <si>
    <t>Energy of explosion of TNT</t>
  </si>
  <si>
    <t>References sheet</t>
  </si>
  <si>
    <t>References sheet for formula</t>
  </si>
  <si>
    <t>References</t>
  </si>
  <si>
    <t>Ze</t>
  </si>
  <si>
    <t>Scaled distance</t>
  </si>
  <si>
    <t>r</t>
  </si>
  <si>
    <t>Distance from ground-zero point of the explosion</t>
  </si>
  <si>
    <r>
      <t>m/kg</t>
    </r>
    <r>
      <rPr>
        <vertAlign val="superscript"/>
        <sz val="11"/>
        <color theme="1"/>
        <rFont val="Calibri"/>
        <family val="2"/>
        <scheme val="minor"/>
      </rPr>
      <t>(1/3)</t>
    </r>
  </si>
  <si>
    <t>Po</t>
  </si>
  <si>
    <t>Overpressure</t>
  </si>
  <si>
    <t>kPa</t>
  </si>
  <si>
    <t>https://hrcak.srce.hr/file/365615</t>
  </si>
  <si>
    <t>Assumption</t>
  </si>
  <si>
    <t>Molar mass of ammonia</t>
  </si>
  <si>
    <t>TNT equivalency of ammonium nitrate</t>
  </si>
  <si>
    <t>Ydeaths</t>
  </si>
  <si>
    <t>Number of deaths due to lung hemorrhage</t>
  </si>
  <si>
    <t>Yeardrums</t>
  </si>
  <si>
    <t>Number of eardrum ruptures</t>
  </si>
  <si>
    <t>Dpr</t>
  </si>
  <si>
    <t>Maximum distance at which projectiles can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</si>
</sst>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14</xdr:row>
      <xdr:rowOff>45720</xdr:rowOff>
    </xdr:from>
    <xdr:to>
      <xdr:col>4</xdr:col>
      <xdr:colOff>3581117</xdr:colOff>
      <xdr:row>32</xdr:row>
      <xdr:rowOff>90840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6EC16-4BA5-4685-A981-1B4EE641D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628900"/>
          <a:ext cx="7627337" cy="3336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640080</xdr:colOff>
      <xdr:row>14</xdr:row>
      <xdr:rowOff>114300</xdr:rowOff>
    </xdr:from>
    <xdr:to>
      <xdr:col>4</xdr:col>
      <xdr:colOff>3596357</xdr:colOff>
      <xdr:row>32</xdr:row>
      <xdr:rowOff>159420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56B43-69B2-4281-BED4-A8E0C15B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2697480"/>
          <a:ext cx="7627337" cy="3336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2</xdr:row>
      <xdr:rowOff>152400</xdr:rowOff>
    </xdr:from>
    <xdr:to>
      <xdr:col>11</xdr:col>
      <xdr:colOff>576815</xdr:colOff>
      <xdr:row>18</xdr:row>
      <xdr:rowOff>69984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3E964-C174-4C10-83F9-713A8B62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518160"/>
          <a:ext cx="6916655" cy="2843664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3</xdr:row>
      <xdr:rowOff>53340</xdr:rowOff>
    </xdr:from>
    <xdr:to>
      <xdr:col>23</xdr:col>
      <xdr:colOff>258218</xdr:colOff>
      <xdr:row>11</xdr:row>
      <xdr:rowOff>47443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DB5B99-F41F-4718-8A64-BBA3F2E52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601980"/>
          <a:ext cx="6895238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19</xdr:row>
      <xdr:rowOff>68580</xdr:rowOff>
    </xdr:from>
    <xdr:to>
      <xdr:col>12</xdr:col>
      <xdr:colOff>313395</xdr:colOff>
      <xdr:row>38</xdr:row>
      <xdr:rowOff>127193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76E234-79E9-44D4-A01E-7449D53E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3543300"/>
          <a:ext cx="7438095" cy="35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403860</xdr:colOff>
      <xdr:row>13</xdr:row>
      <xdr:rowOff>144780</xdr:rowOff>
    </xdr:from>
    <xdr:to>
      <xdr:col>25</xdr:col>
      <xdr:colOff>117155</xdr:colOff>
      <xdr:row>45</xdr:row>
      <xdr:rowOff>64049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135372-A32C-4691-A8E4-C5347F9B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9060" y="2522220"/>
          <a:ext cx="7638095" cy="5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7051-35C3-44A5-9ED0-7FDCBAEB2600}">
  <dimension ref="A1:E13"/>
  <sheetViews>
    <sheetView tabSelected="1" workbookViewId="0">
      <selection activeCell="B7" sqref="B7"/>
    </sheetView>
  </sheetViews>
  <sheetFormatPr defaultRowHeight="14.4" x14ac:dyDescent="0.3"/>
  <cols>
    <col min="1" max="1" width="9.5546875" bestFit="1" customWidth="1"/>
    <col min="2" max="2" width="41.88671875" bestFit="1" customWidth="1"/>
    <col min="3" max="3" width="8.5546875" bestFit="1" customWidth="1"/>
    <col min="4" max="4" width="8.109375" bestFit="1" customWidth="1"/>
    <col min="5" max="5" width="80.5546875" bestFit="1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3">
      <c r="A2" s="2" t="s">
        <v>11</v>
      </c>
      <c r="B2" s="2" t="s">
        <v>38</v>
      </c>
      <c r="C2" s="1">
        <v>0.4</v>
      </c>
      <c r="D2" s="2" t="s">
        <v>11</v>
      </c>
      <c r="E2" s="3" t="s">
        <v>7</v>
      </c>
    </row>
    <row r="3" spans="1:5" x14ac:dyDescent="0.3">
      <c r="A3" s="2" t="s">
        <v>9</v>
      </c>
      <c r="B3" s="2" t="s">
        <v>12</v>
      </c>
      <c r="C3" s="1">
        <v>80.043000000000006</v>
      </c>
      <c r="D3" s="2" t="s">
        <v>13</v>
      </c>
      <c r="E3" s="3" t="s">
        <v>11</v>
      </c>
    </row>
    <row r="4" spans="1:5" x14ac:dyDescent="0.3">
      <c r="A4" s="2" t="s">
        <v>8</v>
      </c>
      <c r="B4" s="2" t="s">
        <v>14</v>
      </c>
      <c r="C4" s="1">
        <f>926.364958105728*C3</f>
        <v>74149.030341656791</v>
      </c>
      <c r="D4" s="2" t="s">
        <v>15</v>
      </c>
      <c r="E4" s="3" t="s">
        <v>16</v>
      </c>
    </row>
    <row r="5" spans="1:5" x14ac:dyDescent="0.3">
      <c r="A5" s="4" t="s">
        <v>17</v>
      </c>
      <c r="B5" s="4" t="s">
        <v>18</v>
      </c>
      <c r="C5" s="5">
        <v>1447.7</v>
      </c>
      <c r="D5" s="4" t="s">
        <v>19</v>
      </c>
      <c r="E5" s="11" t="s">
        <v>35</v>
      </c>
    </row>
    <row r="6" spans="1:5" x14ac:dyDescent="0.3">
      <c r="A6" s="2" t="s">
        <v>22</v>
      </c>
      <c r="B6" s="2" t="s">
        <v>23</v>
      </c>
      <c r="C6" s="1">
        <v>4686</v>
      </c>
      <c r="D6" s="2" t="s">
        <v>19</v>
      </c>
      <c r="E6" s="3" t="s">
        <v>24</v>
      </c>
    </row>
    <row r="7" spans="1:5" x14ac:dyDescent="0.3">
      <c r="A7" s="6" t="s">
        <v>20</v>
      </c>
      <c r="B7" s="6" t="s">
        <v>21</v>
      </c>
      <c r="C7" s="7">
        <f>C4*C2</f>
        <v>29659.612136662719</v>
      </c>
      <c r="D7" s="6" t="s">
        <v>15</v>
      </c>
      <c r="E7" s="9" t="s">
        <v>11</v>
      </c>
    </row>
    <row r="8" spans="1:5" x14ac:dyDescent="0.3">
      <c r="A8" s="6" t="s">
        <v>29</v>
      </c>
      <c r="B8" s="6" t="s">
        <v>30</v>
      </c>
      <c r="C8" s="6">
        <v>100</v>
      </c>
      <c r="D8" s="6" t="s">
        <v>8</v>
      </c>
      <c r="E8" s="9" t="s">
        <v>24</v>
      </c>
    </row>
    <row r="9" spans="1:5" ht="16.2" x14ac:dyDescent="0.3">
      <c r="A9" s="6" t="s">
        <v>27</v>
      </c>
      <c r="B9" s="6" t="s">
        <v>28</v>
      </c>
      <c r="C9" s="7">
        <f>C8/(C7^(1/3))</f>
        <v>3.2305627232359431</v>
      </c>
      <c r="D9" s="6" t="s">
        <v>31</v>
      </c>
      <c r="E9" s="9" t="s">
        <v>24</v>
      </c>
    </row>
    <row r="10" spans="1:5" x14ac:dyDescent="0.3">
      <c r="A10" s="6" t="s">
        <v>32</v>
      </c>
      <c r="B10" s="6" t="s">
        <v>33</v>
      </c>
      <c r="C10" s="7">
        <f>100*1616*(1+(C9/4.5)^2)/(((1+(C9/0.048)^2)^0.5)*((1+(C9/0.32)^2)^0.5)*((1+(C9/1.35)^2)^0.5))</f>
        <v>138.2727299900229</v>
      </c>
      <c r="D10" s="6" t="s">
        <v>34</v>
      </c>
      <c r="E10" s="9" t="s">
        <v>24</v>
      </c>
    </row>
    <row r="11" spans="1:5" x14ac:dyDescent="0.3">
      <c r="A11" s="6" t="s">
        <v>39</v>
      </c>
      <c r="B11" s="6" t="s">
        <v>40</v>
      </c>
      <c r="C11" s="10">
        <f>IF(-77.1+6.91*LN(C10*1000)&gt;0,-77.1+6.91*LN(C10*1000),0)</f>
        <v>4.6935547280348686</v>
      </c>
      <c r="D11" s="8"/>
      <c r="E11" s="9" t="s">
        <v>24</v>
      </c>
    </row>
    <row r="12" spans="1:5" x14ac:dyDescent="0.3">
      <c r="A12" s="6" t="s">
        <v>41</v>
      </c>
      <c r="B12" s="6" t="s">
        <v>42</v>
      </c>
      <c r="C12" s="10">
        <f>IF(-15.6+1.93*LN(C10*100)&gt;0,-15.6+1.93*LN(C10*100),0)</f>
        <v>2.8013885744443972</v>
      </c>
      <c r="D12" s="8"/>
      <c r="E12" s="9" t="s">
        <v>24</v>
      </c>
    </row>
    <row r="13" spans="1:5" x14ac:dyDescent="0.3">
      <c r="A13" s="12" t="s">
        <v>43</v>
      </c>
      <c r="B13" s="6" t="s">
        <v>44</v>
      </c>
      <c r="C13" s="2">
        <f>290.69*C7^0.217</f>
        <v>2715.7513139225553</v>
      </c>
      <c r="D13" s="6" t="s">
        <v>8</v>
      </c>
      <c r="E13" s="9" t="s">
        <v>24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979B-462C-4989-93F3-FF28513503C6}">
  <dimension ref="A1:E13"/>
  <sheetViews>
    <sheetView workbookViewId="0">
      <selection activeCell="A13" sqref="A13:E13"/>
    </sheetView>
  </sheetViews>
  <sheetFormatPr defaultRowHeight="14.4" x14ac:dyDescent="0.3"/>
  <cols>
    <col min="1" max="1" width="9.5546875" bestFit="1" customWidth="1"/>
    <col min="2" max="2" width="41.88671875" bestFit="1" customWidth="1"/>
    <col min="3" max="3" width="8.5546875" bestFit="1" customWidth="1"/>
    <col min="4" max="4" width="8.109375" bestFit="1" customWidth="1"/>
    <col min="5" max="5" width="80.5546875" bestFit="1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3">
      <c r="A2" s="2" t="s">
        <v>2</v>
      </c>
      <c r="B2" s="2" t="s">
        <v>6</v>
      </c>
      <c r="C2" s="1">
        <v>0.05</v>
      </c>
      <c r="D2" s="2" t="s">
        <v>11</v>
      </c>
      <c r="E2" t="s">
        <v>36</v>
      </c>
    </row>
    <row r="3" spans="1:5" x14ac:dyDescent="0.3">
      <c r="A3" s="2" t="s">
        <v>9</v>
      </c>
      <c r="B3" s="2" t="s">
        <v>37</v>
      </c>
      <c r="C3" s="1">
        <v>17.030999999999999</v>
      </c>
      <c r="D3" s="2" t="s">
        <v>13</v>
      </c>
      <c r="E3" t="s">
        <v>11</v>
      </c>
    </row>
    <row r="4" spans="1:5" x14ac:dyDescent="0.3">
      <c r="A4" s="2" t="s">
        <v>8</v>
      </c>
      <c r="B4" s="2" t="s">
        <v>14</v>
      </c>
      <c r="C4" s="1">
        <v>34060.001373291001</v>
      </c>
      <c r="D4" s="2" t="s">
        <v>15</v>
      </c>
      <c r="E4" t="s">
        <v>16</v>
      </c>
    </row>
    <row r="5" spans="1:5" x14ac:dyDescent="0.3">
      <c r="A5" s="6" t="s">
        <v>17</v>
      </c>
      <c r="B5" s="6" t="s">
        <v>18</v>
      </c>
      <c r="C5" s="7">
        <f>18.346*1000</f>
        <v>18346</v>
      </c>
      <c r="D5" s="6" t="s">
        <v>19</v>
      </c>
      <c r="E5" s="8" t="s">
        <v>35</v>
      </c>
    </row>
    <row r="6" spans="1:5" x14ac:dyDescent="0.3">
      <c r="A6" s="6" t="s">
        <v>22</v>
      </c>
      <c r="B6" s="6" t="s">
        <v>23</v>
      </c>
      <c r="C6" s="7">
        <v>4686</v>
      </c>
      <c r="D6" s="6" t="s">
        <v>19</v>
      </c>
      <c r="E6" s="8" t="s">
        <v>24</v>
      </c>
    </row>
    <row r="7" spans="1:5" x14ac:dyDescent="0.3">
      <c r="A7" s="6" t="s">
        <v>20</v>
      </c>
      <c r="B7" s="6" t="s">
        <v>21</v>
      </c>
      <c r="C7" s="7">
        <f>C2*C4*C5/C6</f>
        <v>6667.3579299444809</v>
      </c>
      <c r="D7" s="6" t="s">
        <v>15</v>
      </c>
      <c r="E7" s="8" t="s">
        <v>25</v>
      </c>
    </row>
    <row r="8" spans="1:5" x14ac:dyDescent="0.3">
      <c r="A8" s="6" t="s">
        <v>29</v>
      </c>
      <c r="B8" s="6" t="s">
        <v>30</v>
      </c>
      <c r="C8" s="6">
        <v>100</v>
      </c>
      <c r="D8" s="6" t="s">
        <v>8</v>
      </c>
      <c r="E8" s="9" t="s">
        <v>24</v>
      </c>
    </row>
    <row r="9" spans="1:5" ht="16.2" x14ac:dyDescent="0.3">
      <c r="A9" s="6" t="s">
        <v>27</v>
      </c>
      <c r="B9" s="6" t="s">
        <v>28</v>
      </c>
      <c r="C9" s="7">
        <f>C8/(C7^(1/3))</f>
        <v>5.3131092143952507</v>
      </c>
      <c r="D9" s="6" t="s">
        <v>31</v>
      </c>
      <c r="E9" s="9" t="s">
        <v>24</v>
      </c>
    </row>
    <row r="10" spans="1:5" x14ac:dyDescent="0.3">
      <c r="A10" s="6" t="s">
        <v>32</v>
      </c>
      <c r="B10" s="6" t="s">
        <v>33</v>
      </c>
      <c r="C10" s="7">
        <f>100*1616*(1+(C9/4.5)^2)/(((1+(C9/0.048)^2)^0.5)*((1+(C9/0.32)^2)^0.5)*((1+(C9/1.35)^2)^0.5))</f>
        <v>51.744076100270433</v>
      </c>
      <c r="D10" s="6" t="s">
        <v>34</v>
      </c>
      <c r="E10" s="9" t="s">
        <v>24</v>
      </c>
    </row>
    <row r="11" spans="1:5" x14ac:dyDescent="0.3">
      <c r="A11" s="6" t="s">
        <v>39</v>
      </c>
      <c r="B11" s="6" t="s">
        <v>40</v>
      </c>
      <c r="C11" s="10">
        <f>IF(-77.1+6.91*LN(C10*1000)&gt;0,-77.1+6.91*LN(C10*1000),0)</f>
        <v>0</v>
      </c>
      <c r="D11" s="8"/>
      <c r="E11" s="9" t="s">
        <v>24</v>
      </c>
    </row>
    <row r="12" spans="1:5" x14ac:dyDescent="0.3">
      <c r="A12" s="6" t="s">
        <v>41</v>
      </c>
      <c r="B12" s="6" t="s">
        <v>42</v>
      </c>
      <c r="C12" s="10">
        <f>IF(-15.6+1.93*LN(C10*100)&gt;0,-15.6+1.93*LN(C10*100),0)</f>
        <v>0.90435667037148271</v>
      </c>
      <c r="D12" s="8"/>
      <c r="E12" s="9" t="s">
        <v>24</v>
      </c>
    </row>
    <row r="13" spans="1:5" x14ac:dyDescent="0.3">
      <c r="A13" s="12" t="s">
        <v>43</v>
      </c>
      <c r="B13" s="6" t="s">
        <v>44</v>
      </c>
      <c r="C13" s="2">
        <f>290.69*C7^0.217</f>
        <v>1964.3915625190859</v>
      </c>
      <c r="D13" s="6" t="s">
        <v>8</v>
      </c>
      <c r="E13" s="9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99A6-458A-4CC8-A0E7-751D131F0334}">
  <dimension ref="B2:C2"/>
  <sheetViews>
    <sheetView workbookViewId="0">
      <selection activeCell="M15" sqref="M15"/>
    </sheetView>
  </sheetViews>
  <sheetFormatPr defaultRowHeight="14.4" x14ac:dyDescent="0.3"/>
  <sheetData>
    <row r="2" spans="2:3" x14ac:dyDescent="0.3">
      <c r="B2" t="s">
        <v>0</v>
      </c>
      <c r="C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BAU without pollution</vt:lpstr>
      <vt:lpstr>AON 86% selectivity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2023-12-03T19:07:23Z</dcterms:created>
  <dcterms:modified xsi:type="dcterms:W3CDTF">2023-12-04T09:17:52Z</dcterms:modified>
</cp:coreProperties>
</file>