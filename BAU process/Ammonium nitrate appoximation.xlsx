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"/>
    </mc:Choice>
  </mc:AlternateContent>
  <xr:revisionPtr revIDLastSave="0" documentId="13_ncr:1_{170F539F-B2B8-4714-8334-29EF7318F0CE}" xr6:coauthVersionLast="36" xr6:coauthVersionMax="36" xr10:uidLastSave="{00000000-0000-0000-0000-000000000000}"/>
  <bookViews>
    <workbookView xWindow="0" yWindow="0" windowWidth="30720" windowHeight="13380" xr2:uid="{88EC066D-3B61-46E6-AE57-CF4948645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5" i="1"/>
  <c r="C15" i="1" s="1"/>
  <c r="B14" i="1"/>
  <c r="C14" i="1" s="1"/>
  <c r="A7" i="1"/>
  <c r="E7" i="1"/>
  <c r="D14" i="1" l="1"/>
  <c r="D15" i="1"/>
</calcChain>
</file>

<file path=xl/sharedStrings.xml><?xml version="1.0" encoding="utf-8"?>
<sst xmlns="http://schemas.openxmlformats.org/spreadsheetml/2006/main" count="36" uniqueCount="11">
  <si>
    <t>kilogram</t>
  </si>
  <si>
    <t>ammonia, anhydrous, liquid</t>
  </si>
  <si>
    <t>nitric acid, without water, in 50% solution state</t>
  </si>
  <si>
    <t>Reaction</t>
  </si>
  <si>
    <t>1 mol nitric acid + 1mol ammonia -&gt; 1 mol ammonium nitrate</t>
  </si>
  <si>
    <t>1 mol nitric acid</t>
  </si>
  <si>
    <t>1 mol ammonia</t>
  </si>
  <si>
    <t>1 mol ammonium nitrate</t>
  </si>
  <si>
    <t>Mass</t>
  </si>
  <si>
    <t>kg/kg ammonium nitrate</t>
  </si>
  <si>
    <t>%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</si>
</sst>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9" fontId="0" fillId="0" borderId="0" xfId="0" applyNumberFormat="1"/>
    <xf numFmtId="11" fontId="0" fillId="0" borderId="0" xfId="0" applyNumberFormat="1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9" fontId="1" fillId="2" borderId="0" xfId="0" applyNumberFormat="1" applyFont="1" applyFill="1"/>
    <xf numFmtId="16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CBF2-4657-4617-8F97-70566DE46C45}">
  <dimension ref="A1:G25"/>
  <sheetViews>
    <sheetView tabSelected="1" workbookViewId="0">
      <selection activeCell="C27" sqref="C27"/>
    </sheetView>
  </sheetViews>
  <sheetFormatPr defaultRowHeight="14.4" x14ac:dyDescent="0.3"/>
  <cols>
    <col min="1" max="1" width="21.44140625" bestFit="1" customWidth="1"/>
    <col min="3" max="3" width="40.88671875" bestFit="1" customWidth="1"/>
    <col min="4" max="4" width="7" bestFit="1" customWidth="1"/>
    <col min="5" max="5" width="11.88671875" customWidth="1"/>
    <col min="7" max="7" width="25" bestFit="1" customWidth="1"/>
    <col min="8" max="8" width="32.88671875" bestFit="1" customWidth="1"/>
  </cols>
  <sheetData>
    <row r="1" spans="1:7" x14ac:dyDescent="0.3">
      <c r="A1" s="2">
        <v>7.8691578591818107E-2</v>
      </c>
      <c r="B1" t="s">
        <v>0</v>
      </c>
      <c r="C1" t="s">
        <v>2</v>
      </c>
      <c r="E1" s="2">
        <v>4.9776604746954002E-3</v>
      </c>
      <c r="F1" t="s">
        <v>0</v>
      </c>
      <c r="G1" t="s">
        <v>1</v>
      </c>
    </row>
    <row r="2" spans="1:7" x14ac:dyDescent="0.3">
      <c r="A2" s="2">
        <v>0.19569143969042299</v>
      </c>
      <c r="B2" t="s">
        <v>0</v>
      </c>
      <c r="C2" t="s">
        <v>2</v>
      </c>
      <c r="E2" s="2">
        <v>7.7439576102000703E-3</v>
      </c>
      <c r="F2" t="s">
        <v>0</v>
      </c>
      <c r="G2" t="s">
        <v>1</v>
      </c>
    </row>
    <row r="3" spans="1:7" x14ac:dyDescent="0.3">
      <c r="A3" s="2">
        <v>9.3765025611171907E-2</v>
      </c>
      <c r="B3" t="s">
        <v>0</v>
      </c>
      <c r="C3" t="s">
        <v>2</v>
      </c>
      <c r="E3" s="2">
        <v>1.5032604294053601E-2</v>
      </c>
      <c r="F3" t="s">
        <v>0</v>
      </c>
      <c r="G3" t="s">
        <v>1</v>
      </c>
    </row>
    <row r="4" spans="1:7" x14ac:dyDescent="0.3">
      <c r="A4" s="2">
        <v>5.29608591705951E-2</v>
      </c>
      <c r="B4" t="s">
        <v>0</v>
      </c>
      <c r="C4" t="s">
        <v>2</v>
      </c>
      <c r="E4" s="2">
        <v>1.5755786318389E-3</v>
      </c>
      <c r="F4" t="s">
        <v>0</v>
      </c>
      <c r="G4" t="s">
        <v>1</v>
      </c>
    </row>
    <row r="5" spans="1:7" x14ac:dyDescent="0.3">
      <c r="A5" s="2">
        <v>7.8400335699707197E-2</v>
      </c>
      <c r="B5" t="s">
        <v>0</v>
      </c>
      <c r="C5" t="s">
        <v>2</v>
      </c>
      <c r="E5" s="2">
        <v>7.04341873677176E-3</v>
      </c>
      <c r="F5" t="s">
        <v>0</v>
      </c>
      <c r="G5" t="s">
        <v>1</v>
      </c>
    </row>
    <row r="6" spans="1:7" x14ac:dyDescent="0.3">
      <c r="A6" s="2">
        <v>0.254490761236284</v>
      </c>
      <c r="B6" t="s">
        <v>0</v>
      </c>
      <c r="C6" t="s">
        <v>2</v>
      </c>
      <c r="E6" s="2">
        <v>0.16662678025243999</v>
      </c>
      <c r="F6" t="s">
        <v>0</v>
      </c>
      <c r="G6" t="s">
        <v>1</v>
      </c>
    </row>
    <row r="7" spans="1:7" x14ac:dyDescent="0.3">
      <c r="A7" s="9">
        <f>SUM(A1:A6)</f>
        <v>0.75399999999999934</v>
      </c>
      <c r="B7" s="4" t="s">
        <v>0</v>
      </c>
      <c r="C7" s="4" t="s">
        <v>2</v>
      </c>
      <c r="E7" s="9">
        <f>SUM(E1:E6)</f>
        <v>0.20299999999999971</v>
      </c>
      <c r="F7" s="4" t="s">
        <v>0</v>
      </c>
      <c r="G7" s="4" t="s">
        <v>1</v>
      </c>
    </row>
    <row r="11" spans="1:7" x14ac:dyDescent="0.3">
      <c r="A11" s="1" t="s">
        <v>3</v>
      </c>
      <c r="B11" s="1" t="s">
        <v>4</v>
      </c>
      <c r="C11" s="1"/>
    </row>
    <row r="13" spans="1:7" x14ac:dyDescent="0.3">
      <c r="A13" s="5"/>
      <c r="B13" s="8" t="s">
        <v>8</v>
      </c>
      <c r="C13" s="8" t="s">
        <v>9</v>
      </c>
      <c r="D13" s="8" t="s">
        <v>10</v>
      </c>
    </row>
    <row r="14" spans="1:7" x14ac:dyDescent="0.3">
      <c r="A14" s="5" t="s">
        <v>5</v>
      </c>
      <c r="B14" s="6">
        <f>1+14+16*3</f>
        <v>63</v>
      </c>
      <c r="C14" s="10">
        <f>B14/$B$16</f>
        <v>0.78749999999999998</v>
      </c>
      <c r="D14" s="7">
        <f>(C14-A7)/C14*100</f>
        <v>4.2539682539683357</v>
      </c>
    </row>
    <row r="15" spans="1:7" x14ac:dyDescent="0.3">
      <c r="A15" s="5" t="s">
        <v>6</v>
      </c>
      <c r="B15" s="6">
        <f>14+3</f>
        <v>17</v>
      </c>
      <c r="C15" s="10">
        <f>B15/$B$16</f>
        <v>0.21249999999999999</v>
      </c>
      <c r="D15" s="7">
        <f>(C15-E7)/C15*100</f>
        <v>4.4705882352942528</v>
      </c>
    </row>
    <row r="16" spans="1:7" x14ac:dyDescent="0.3">
      <c r="A16" s="5" t="s">
        <v>7</v>
      </c>
      <c r="B16" s="6">
        <f>14+4+14+3*16</f>
        <v>80</v>
      </c>
      <c r="C16" s="6"/>
      <c r="D16" s="6"/>
    </row>
    <row r="25" spans="6:6" x14ac:dyDescent="0.3">
      <c r="F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2023-09-18T17:09:47Z</dcterms:created>
  <dcterms:modified xsi:type="dcterms:W3CDTF">2023-09-19T09:25:18Z</dcterms:modified>
</cp:coreProperties>
</file>