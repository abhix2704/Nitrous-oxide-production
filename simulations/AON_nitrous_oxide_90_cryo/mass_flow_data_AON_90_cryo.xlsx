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nitrous_oxide_90_cryo\"/>
    </mc:Choice>
  </mc:AlternateContent>
  <xr:revisionPtr revIDLastSave="0" documentId="13_ncr:1_{D46B0659-EAF4-4C3D-8C01-D5D3F125F6EB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2" i="3" l="1"/>
  <c r="E11" i="1" l="1"/>
  <c r="E10" i="1"/>
  <c r="D3" i="2" l="1"/>
  <c r="C5" i="2" l="1"/>
  <c r="E9" i="1" l="1"/>
  <c r="E8" i="1" l="1"/>
  <c r="D4" i="2" l="1"/>
  <c r="E7" i="1"/>
  <c r="F7" i="1" s="1"/>
  <c r="D5" i="2" l="1"/>
  <c r="E6" i="1"/>
  <c r="E5" i="1"/>
  <c r="E4" i="1"/>
  <c r="E12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<sst xmlns="http://schemas.openxmlformats.org/spreadsheetml/2006/main" count="57" uniqueCount="37">
  <si>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</si>
  <si>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</si>
  <si>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</si>
  <si>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</si>
  <si>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</si>
  <si>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</si>
  <si>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</si>
  <si>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</si>
  <si>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</si>
  <si>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</si>
  <si>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</si>
  <si>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</si>
  <si>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</si>
  <si>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</si>
  <si>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</si>
  <si>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</si>
  <si>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</si>
  <si>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</si>
  <si>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</si>
  <si>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</si>
  <si>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</si>
  <si>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</si>
  <si>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</si>
  <si>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</si>
  <si>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</si>
  <si>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</si>
  <si>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</si>
  <si>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</si>
  <si>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</si>
  <si>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</si>
  <si>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</si>
  <si>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</si>
  <si>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</si>
  <si>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</si>
  <si>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</si>
  <si>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</si>
  <si>
    <t>Refrigeration to -150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</si>
</sst>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zoomScale="115" zoomScaleNormal="115" workbookViewId="0">
      <selection activeCell="J8" sqref="J8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35</v>
      </c>
      <c r="B4" s="3" t="s">
        <v>35</v>
      </c>
      <c r="C4" s="3" t="s">
        <v>23</v>
      </c>
      <c r="D4" s="4">
        <v>63872.029093085599</v>
      </c>
      <c r="E4" s="5">
        <f t="shared" ref="E4:E12" si="0">D4/$D$12</f>
        <v>1.7034035860945569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33994.288029286799</v>
      </c>
      <c r="E5" s="5">
        <f t="shared" si="0"/>
        <v>0.90659390280881114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55989.286516029497</v>
      </c>
      <c r="E7" s="5">
        <f t="shared" si="0"/>
        <v>1.4931786697317355</v>
      </c>
      <c r="F7" s="18">
        <f>E7/1000</f>
        <v>1.4931786697317355E-3</v>
      </c>
    </row>
    <row r="8" spans="1:11" x14ac:dyDescent="0.25">
      <c r="A8" s="3" t="s">
        <v>31</v>
      </c>
      <c r="B8" s="3" t="s">
        <v>34</v>
      </c>
      <c r="C8" s="3" t="s">
        <v>24</v>
      </c>
      <c r="D8" s="4">
        <v>2786.98069907332</v>
      </c>
      <c r="E8" s="5">
        <f t="shared" si="0"/>
        <v>7.4326007558944585E-2</v>
      </c>
    </row>
    <row r="9" spans="1:11" x14ac:dyDescent="0.25">
      <c r="A9" s="3" t="s">
        <v>31</v>
      </c>
      <c r="B9" s="3" t="s">
        <v>32</v>
      </c>
      <c r="C9" s="3" t="s">
        <v>24</v>
      </c>
      <c r="D9" s="20">
        <v>0</v>
      </c>
      <c r="E9" s="5">
        <f t="shared" si="0"/>
        <v>0</v>
      </c>
      <c r="H9" s="17"/>
      <c r="I9" s="17"/>
      <c r="J9" s="17"/>
      <c r="K9" s="17"/>
    </row>
    <row r="10" spans="1:11" x14ac:dyDescent="0.25">
      <c r="A10" s="3" t="s">
        <v>31</v>
      </c>
      <c r="B10" s="3" t="s">
        <v>22</v>
      </c>
      <c r="C10" s="3" t="s">
        <v>24</v>
      </c>
      <c r="D10" s="20">
        <v>3.7536533632543501</v>
      </c>
      <c r="E10" s="5">
        <f t="shared" si="0"/>
        <v>1.0010620753264169E-4</v>
      </c>
      <c r="H10" s="17"/>
      <c r="I10" s="17"/>
      <c r="J10" s="17"/>
      <c r="K10" s="17"/>
    </row>
    <row r="11" spans="1:11" x14ac:dyDescent="0.25">
      <c r="A11" s="3" t="s">
        <v>31</v>
      </c>
      <c r="B11" s="3" t="s">
        <v>35</v>
      </c>
      <c r="C11" s="3" t="s">
        <v>24</v>
      </c>
      <c r="D11" s="20">
        <v>1589.5869511353601</v>
      </c>
      <c r="E11" s="5">
        <f t="shared" si="0"/>
        <v>4.2392705405161546E-2</v>
      </c>
      <c r="H11" s="17"/>
      <c r="I11" s="17"/>
      <c r="J11" s="17"/>
      <c r="K11" s="17"/>
    </row>
    <row r="12" spans="1:11" ht="18" x14ac:dyDescent="0.35">
      <c r="A12" s="3" t="s">
        <v>20</v>
      </c>
      <c r="B12" s="3" t="s">
        <v>22</v>
      </c>
      <c r="C12" s="3" t="s">
        <v>25</v>
      </c>
      <c r="D12" s="4">
        <v>37496.709302771204</v>
      </c>
      <c r="E12" s="5">
        <f t="shared" si="0"/>
        <v>1</v>
      </c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  <row r="102" spans="8:11" x14ac:dyDescent="0.25">
      <c r="H102" s="17"/>
      <c r="I102" s="17"/>
      <c r="J102" s="17"/>
      <c r="K102" s="17"/>
    </row>
    <row r="103" spans="8:11" x14ac:dyDescent="0.25">
      <c r="H103" s="17"/>
      <c r="I103" s="17"/>
      <c r="J103" s="17"/>
      <c r="K103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D5" sqref="D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1616.2697900000001</v>
      </c>
      <c r="D3" s="5">
        <f>C3/'Material streams'!$D$12</f>
        <v>4.3104310219578369E-2</v>
      </c>
      <c r="E3" s="15"/>
      <c r="F3" s="15"/>
    </row>
    <row r="4" spans="1:6" x14ac:dyDescent="0.25">
      <c r="A4" s="3" t="s">
        <v>33</v>
      </c>
      <c r="B4" s="3" t="s">
        <v>7</v>
      </c>
      <c r="C4" s="4">
        <v>611.39147000000003</v>
      </c>
      <c r="D4" s="5">
        <f>C4/'Material streams'!$D$12</f>
        <v>1.6305203346332446E-2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2227.6612599999999</v>
      </c>
      <c r="D5" s="16">
        <f>SUM(D3:D4)</f>
        <v>5.9409513565910815E-2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E2" sqref="E2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8" x14ac:dyDescent="0.25">
      <c r="A2" s="3" t="s">
        <v>36</v>
      </c>
      <c r="B2" s="4">
        <v>22398742.417348798</v>
      </c>
      <c r="C2" s="4">
        <f>B2/B8/E8</f>
        <v>10721451.160083657</v>
      </c>
      <c r="D2" s="4">
        <f>C2/'Material streams'!$D$12</f>
        <v>285.93045521707381</v>
      </c>
      <c r="E2" s="19">
        <f>B2/1000/'Material streams'!$D$12</f>
        <v>0.59735221660353577</v>
      </c>
      <c r="H2" s="10"/>
    </row>
    <row r="3" spans="1:8" x14ac:dyDescent="0.25">
      <c r="A3" s="3" t="s">
        <v>17</v>
      </c>
      <c r="B3" s="4">
        <v>172473931.182383</v>
      </c>
      <c r="C3" s="4">
        <f>B3/B9/E9</f>
        <v>8246422.7196931867</v>
      </c>
      <c r="D3" s="4">
        <f>C3/'Material streams'!$D$12</f>
        <v>219.92390460470975</v>
      </c>
      <c r="E3" s="19">
        <f>B3/1000/'Material streams'!$D$12</f>
        <v>4.5997084648075042</v>
      </c>
    </row>
    <row r="6" spans="1:8" x14ac:dyDescent="0.25">
      <c r="A6" s="7" t="s">
        <v>27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36</v>
      </c>
      <c r="B8" s="21">
        <v>2.0891521197</v>
      </c>
      <c r="C8" s="3">
        <v>159</v>
      </c>
      <c r="D8" s="3">
        <v>160</v>
      </c>
      <c r="E8" s="3">
        <f>D8-C8</f>
        <v>1</v>
      </c>
    </row>
    <row r="9" spans="1:8" x14ac:dyDescent="0.25">
      <c r="A9" s="3" t="s">
        <v>17</v>
      </c>
      <c r="B9" s="21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2025-05-25T14:38:36Z</dcterms:modified>
</cp:coreProperties>
</file>