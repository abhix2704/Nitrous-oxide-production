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phenol_nitrous_oxide\"/>
    </mc:Choice>
  </mc:AlternateContent>
  <xr:revisionPtr revIDLastSave="0" documentId="13_ncr:1_{229462F9-24ED-4DA1-83F1-EAD21D976A56}" xr6:coauthVersionLast="36" xr6:coauthVersionMax="36" xr10:uidLastSave="{00000000-0000-0000-0000-000000000000}"/>
  <bookViews>
    <workbookView xWindow="0" yWindow="0" windowWidth="17265" windowHeight="5775" activeTab="3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8" l="1"/>
  <c r="G12" i="8" l="1"/>
  <c r="G11" i="8"/>
  <c r="G10" i="8"/>
  <c r="F11" i="8" l="1"/>
  <c r="F7" i="8" l="1"/>
  <c r="F8" i="8"/>
  <c r="H27" i="7"/>
  <c r="D27" i="7"/>
  <c r="D26" i="7"/>
  <c r="H26" i="7" s="1"/>
  <c r="H24" i="7"/>
  <c r="D24" i="7"/>
  <c r="D23" i="7"/>
  <c r="H23" i="7"/>
  <c r="P13" i="7"/>
  <c r="O13" i="7"/>
  <c r="O15" i="7"/>
  <c r="Q15" i="7" s="1"/>
  <c r="R15" i="7" s="1"/>
  <c r="P15" i="7"/>
  <c r="P14" i="7"/>
  <c r="Q14" i="7"/>
  <c r="R14" i="7" s="1"/>
  <c r="G8" i="8" l="1"/>
  <c r="G7" i="8"/>
  <c r="S15" i="7"/>
  <c r="U15" i="7" s="1"/>
  <c r="S14" i="7"/>
  <c r="U14" i="7" s="1"/>
  <c r="D19" i="7" l="1"/>
  <c r="H19" i="7" s="1"/>
  <c r="D18" i="7"/>
  <c r="H18" i="7" s="1"/>
  <c r="D17" i="7"/>
  <c r="H17" i="7" s="1"/>
  <c r="D16" i="7"/>
  <c r="H16" i="7" s="1"/>
  <c r="D15" i="7"/>
  <c r="H15" i="7" s="1"/>
  <c r="E10" i="8" l="1"/>
  <c r="E12" i="8"/>
  <c r="F6" i="8" l="1"/>
  <c r="G6" i="8" l="1"/>
  <c r="F14" i="8"/>
  <c r="F13" i="8"/>
  <c r="D14" i="7"/>
  <c r="H14" i="7" s="1"/>
  <c r="G17" i="11" l="1"/>
  <c r="G16" i="11"/>
  <c r="G15" i="11"/>
  <c r="F12" i="8"/>
  <c r="F5" i="8"/>
  <c r="F10" i="8" l="1"/>
  <c r="G20" i="11" s="1"/>
  <c r="C20" i="11" l="1"/>
  <c r="C14" i="11"/>
  <c r="G14" i="11" s="1"/>
  <c r="C13" i="11"/>
  <c r="G13" i="11" s="1"/>
  <c r="C12" i="11"/>
  <c r="G12" i="11" s="1"/>
  <c r="C11" i="11"/>
  <c r="G11" i="11" s="1"/>
  <c r="C6" i="12"/>
  <c r="C7" i="12" s="1"/>
  <c r="B45" i="7"/>
  <c r="C8" i="12" l="1"/>
  <c r="C9" i="12" s="1"/>
  <c r="Q13" i="7" l="1"/>
  <c r="R13" i="7" s="1"/>
  <c r="S13" i="7" s="1"/>
  <c r="U13" i="7" s="1"/>
  <c r="D21" i="7" l="1"/>
  <c r="H21" i="7" s="1"/>
  <c r="H28" i="7" l="1"/>
  <c r="B32" i="7" l="1"/>
  <c r="B33" i="7"/>
  <c r="B36" i="7" l="1"/>
  <c r="C3" i="11"/>
  <c r="G3" i="11" s="1"/>
  <c r="B40" i="7" l="1"/>
  <c r="B37" i="7"/>
  <c r="B39" i="7" s="1"/>
  <c r="C7" i="11" s="1"/>
  <c r="G7" i="11" s="1"/>
  <c r="C11" i="12"/>
  <c r="C4" i="11"/>
  <c r="G4" i="11" s="1"/>
  <c r="C15" i="12" l="1"/>
  <c r="B38" i="7"/>
  <c r="C6" i="11" s="1"/>
  <c r="G6" i="11" s="1"/>
  <c r="C5" i="11"/>
  <c r="G5" i="11" s="1"/>
  <c r="C12" i="12"/>
  <c r="C14" i="12"/>
  <c r="B41" i="7"/>
  <c r="C8" i="11"/>
  <c r="G8" i="11" s="1"/>
  <c r="C16" i="12" l="1"/>
  <c r="B42" i="7"/>
  <c r="C18" i="12"/>
  <c r="C19" i="12" s="1"/>
  <c r="C9" i="11"/>
  <c r="G9" i="11" s="1"/>
  <c r="C20" i="12" l="1"/>
  <c r="C10" i="11"/>
  <c r="G10" i="11" s="1"/>
  <c r="B46" i="7"/>
  <c r="B47" i="7" s="1"/>
  <c r="C18" i="11" s="1"/>
  <c r="G18" i="11" l="1"/>
  <c r="G21" i="11" s="1"/>
  <c r="G22" i="11" s="1"/>
  <c r="G24" i="11" s="1"/>
  <c r="C21" i="11"/>
  <c r="C22" i="11" s="1"/>
  <c r="C24" i="11" s="1"/>
</calcChain>
</file>

<file path=xl/sharedStrings.xml><?xml version="1.0" encoding="utf-8"?>
<sst xmlns="http://schemas.openxmlformats.org/spreadsheetml/2006/main" count="197" uniqueCount="132">
  <si>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</si>
  <si>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</si>
  <si>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</si>
  <si>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</si>
  <si>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</si>
  <si>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</si>
  <si>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</si>
  <si>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</si>
  <si>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</si>
  <si>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</si>
  <si>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</si>
  <si>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</si>
  <si>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</si>
  <si>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</si>
  <si>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</si>
  <si>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</si>
  <si>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</si>
  <si>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</si>
  <si>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</si>
  <si>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</si>
  <si>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</si>
  <si>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</si>
  <si>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</si>
  <si>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</si>
  <si>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</si>
  <si>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</si>
  <si>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</si>
  <si>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</si>
  <si>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</si>
  <si>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</si>
  <si>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</si>
  <si>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</si>
  <si>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</si>
  <si>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</si>
  <si>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</si>
  <si>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</si>
  <si>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</si>
  <si>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</si>
  <si>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</si>
  <si>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</si>
  <si>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</si>
  <si>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</si>
  <si>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</si>
  <si>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</si>
  <si>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</si>
  <si>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</si>
  <si>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</si>
  <si>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</si>
  <si>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</si>
  <si>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</si>
  <si>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</si>
  <si>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</si>
  <si>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</si>
  <si>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</si>
  <si>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</si>
  <si>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</si>
  <si>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</si>
  <si>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</si>
  <si>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</si>
  <si>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</si>
  <si>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</si>
  <si>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</si>
  <si>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</si>
  <si>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</si>
  <si>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</si>
  <si>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</si>
  <si>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</si>
  <si>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</si>
  <si>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</si>
  <si>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</si>
  <si>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</si>
  <si>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</si>
  <si>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</si>
  <si>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</si>
  <si>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</si>
  <si>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</si>
  <si>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</si>
  <si>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</si>
  <si>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</si>
  <si>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</si>
  <si>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</si>
  <si>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</si>
  <si>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</si>
  <si>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</si>
  <si>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</si>
  <si>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 xml:space="preserve">OPEX (M$/year) </t>
  </si>
  <si>
    <t>Heat exchangers</t>
  </si>
  <si>
    <t>Pressure vessel</t>
  </si>
  <si>
    <t>CRV-100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</si>
  <si>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</si>
  <si>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</si>
  <si>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</si>
  <si>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</si>
  <si>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</si>
  <si>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</si>
  <si>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</si>
  <si>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2022</t>
  </si>
  <si>
    <t>Oxygen</t>
  </si>
  <si>
    <t>2022 costs</t>
  </si>
  <si>
    <t>Raw material costs</t>
  </si>
  <si>
    <t>Utility costs</t>
  </si>
  <si>
    <t>Price 2022 ($/unit)</t>
  </si>
  <si>
    <t>OPEX (fossil ammonia)</t>
  </si>
  <si>
    <t>OPEX (wind ammonia)</t>
  </si>
  <si>
    <t>Wind ammonia 2022</t>
  </si>
  <si>
    <t xml:space="preserve">Cost per kg </t>
  </si>
  <si>
    <t>E-103</t>
  </si>
  <si>
    <t>E-105</t>
  </si>
  <si>
    <t>E-102</t>
  </si>
  <si>
    <t>E-104</t>
  </si>
  <si>
    <t>Fossil</t>
  </si>
  <si>
    <t>Low</t>
  </si>
  <si>
    <t>High</t>
  </si>
  <si>
    <t>E-101</t>
  </si>
  <si>
    <t>E-106</t>
  </si>
  <si>
    <t>B4</t>
  </si>
  <si>
    <t>B7</t>
  </si>
  <si>
    <t>Structure</t>
  </si>
  <si>
    <t>Pressure Vessel</t>
  </si>
  <si>
    <t>Valve trays</t>
  </si>
  <si>
    <t>Tray</t>
  </si>
  <si>
    <t>diameter, m</t>
  </si>
  <si>
    <t>B4 distillation column</t>
  </si>
  <si>
    <t>B7 distillation column</t>
  </si>
  <si>
    <t>Benzene</t>
  </si>
  <si>
    <t>Benzene price</t>
  </si>
  <si>
    <t>Nitrous oxide fossil</t>
  </si>
  <si>
    <t>Nitrous oxide green</t>
  </si>
  <si>
    <t>Natural gas</t>
  </si>
  <si>
    <t>Nitrous oxide</t>
  </si>
  <si>
    <t>Average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</si>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</sst>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4" fillId="0" borderId="0" xfId="1" applyFont="1" applyBorder="1" applyAlignment="1">
      <alignment horizontal="center"/>
    </xf>
    <xf numFmtId="164" fontId="0" fillId="0" borderId="0" xfId="0" applyNumberFormat="1"/>
    <xf numFmtId="2" fontId="0" fillId="0" borderId="0" xfId="0" applyNumberFormat="1" applyFont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right"/>
    </xf>
    <xf numFmtId="165" fontId="0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"/>
  <sheetViews>
    <sheetView zoomScale="115" zoomScaleNormal="115" workbookViewId="0">
      <selection activeCell="I27" sqref="I27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0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7" bestFit="1" customWidth="1"/>
    <col min="13" max="13" width="9.28515625" bestFit="1" customWidth="1"/>
    <col min="14" max="14" width="10.7109375" bestFit="1" customWidth="1"/>
    <col min="15" max="15" width="8.28515625" bestFit="1" customWidth="1"/>
    <col min="16" max="16" width="7.5703125" bestFit="1" customWidth="1"/>
    <col min="17" max="17" width="10.85546875" bestFit="1" customWidth="1"/>
  </cols>
  <sheetData>
    <row r="1" spans="1:22" x14ac:dyDescent="0.25">
      <c r="A1" s="2" t="s">
        <v>0</v>
      </c>
      <c r="B1" s="3"/>
      <c r="C1" s="3"/>
    </row>
    <row r="2" spans="1:22" ht="18" x14ac:dyDescent="0.35">
      <c r="A2" s="3" t="s">
        <v>1</v>
      </c>
      <c r="B2" s="3" t="s">
        <v>38</v>
      </c>
      <c r="C2" s="3">
        <v>0.3</v>
      </c>
    </row>
    <row r="3" spans="1:22" ht="18" x14ac:dyDescent="0.35">
      <c r="A3" s="3" t="s">
        <v>2</v>
      </c>
      <c r="B3" s="3" t="s">
        <v>39</v>
      </c>
      <c r="C3" s="3">
        <v>0.8</v>
      </c>
    </row>
    <row r="4" spans="1:22" ht="18" x14ac:dyDescent="0.35">
      <c r="A4" s="3" t="s">
        <v>3</v>
      </c>
      <c r="B4" s="3" t="s">
        <v>40</v>
      </c>
      <c r="C4" s="3">
        <v>0.3</v>
      </c>
    </row>
    <row r="5" spans="1:22" ht="18" x14ac:dyDescent="0.35">
      <c r="A5" s="3" t="s">
        <v>4</v>
      </c>
      <c r="B5" s="3" t="s">
        <v>41</v>
      </c>
      <c r="C5" s="3">
        <v>0.2</v>
      </c>
    </row>
    <row r="6" spans="1:22" ht="18" x14ac:dyDescent="0.35">
      <c r="A6" s="3" t="s">
        <v>5</v>
      </c>
      <c r="B6" s="3" t="s">
        <v>42</v>
      </c>
      <c r="C6" s="3">
        <v>0.3</v>
      </c>
    </row>
    <row r="7" spans="1:22" ht="18" x14ac:dyDescent="0.35">
      <c r="A7" s="3" t="s">
        <v>6</v>
      </c>
      <c r="B7" s="3" t="s">
        <v>43</v>
      </c>
      <c r="C7" s="3">
        <v>0.2</v>
      </c>
    </row>
    <row r="8" spans="1:22" ht="18" x14ac:dyDescent="0.35">
      <c r="A8" s="3" t="s">
        <v>7</v>
      </c>
      <c r="B8" s="3" t="s">
        <v>44</v>
      </c>
      <c r="C8" s="3">
        <v>0.1</v>
      </c>
    </row>
    <row r="9" spans="1:22" ht="18" x14ac:dyDescent="0.35">
      <c r="A9" s="3" t="s">
        <v>8</v>
      </c>
      <c r="B9" s="3" t="s">
        <v>45</v>
      </c>
      <c r="C9" s="3">
        <v>1.3</v>
      </c>
    </row>
    <row r="10" spans="1:22" x14ac:dyDescent="0.25">
      <c r="A10" s="22"/>
      <c r="B10" s="22"/>
      <c r="C10" s="22"/>
    </row>
    <row r="12" spans="1:22" ht="48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N12" s="2" t="s">
        <v>22</v>
      </c>
      <c r="O12" s="5" t="s">
        <v>20</v>
      </c>
      <c r="P12" s="5" t="s">
        <v>17</v>
      </c>
      <c r="Q12" s="5" t="s">
        <v>21</v>
      </c>
      <c r="R12" s="5" t="s">
        <v>46</v>
      </c>
      <c r="S12" s="5" t="s">
        <v>16</v>
      </c>
      <c r="T12" s="5" t="s">
        <v>47</v>
      </c>
      <c r="U12" s="5" t="s">
        <v>18</v>
      </c>
    </row>
    <row r="13" spans="1:22" x14ac:dyDescent="0.25">
      <c r="A13" s="55" t="s">
        <v>86</v>
      </c>
      <c r="B13" s="56"/>
      <c r="C13" s="56"/>
      <c r="D13" s="56"/>
      <c r="E13" s="56"/>
      <c r="F13" s="56"/>
      <c r="G13" s="56"/>
      <c r="H13" s="57"/>
      <c r="N13" s="32" t="s">
        <v>88</v>
      </c>
      <c r="O13" s="33">
        <f>O14</f>
        <v>1.0668</v>
      </c>
      <c r="P13" s="33">
        <f>P14</f>
        <v>25.603200000000001</v>
      </c>
      <c r="Q13" s="36">
        <f t="shared" ref="Q13:Q14" si="0">O13+0.0254</f>
        <v>1.0922000000000001</v>
      </c>
      <c r="R13" s="36">
        <f t="shared" ref="R13:R14" si="1">PI()*(Q13*Q13-O13*O13)/4</f>
        <v>4.3070135723287363E-2</v>
      </c>
      <c r="S13" s="36">
        <f t="shared" ref="S13:S14" si="2">R13*P13</f>
        <v>1.102733298950471</v>
      </c>
      <c r="T13" s="34">
        <v>8000</v>
      </c>
      <c r="U13" s="33">
        <f t="shared" ref="U13:U14" si="3">T13*S13</f>
        <v>8821.8663916037676</v>
      </c>
      <c r="V13" s="50"/>
    </row>
    <row r="14" spans="1:22" x14ac:dyDescent="0.25">
      <c r="A14" s="6" t="s">
        <v>113</v>
      </c>
      <c r="B14" s="6" t="s">
        <v>48</v>
      </c>
      <c r="C14" s="6" t="s">
        <v>49</v>
      </c>
      <c r="D14" s="21">
        <f>I14/J14</f>
        <v>157.27322650105299</v>
      </c>
      <c r="E14" s="8">
        <v>28000</v>
      </c>
      <c r="F14" s="8">
        <v>54</v>
      </c>
      <c r="G14" s="9">
        <v>1.2</v>
      </c>
      <c r="H14" s="9">
        <f t="shared" ref="H14:H19" si="4">(E14+(F14*(D14^G14)))/1000000*J14</f>
        <v>5.1354980858136508E-2</v>
      </c>
      <c r="I14" s="43">
        <v>157.27322650105299</v>
      </c>
      <c r="J14" s="44">
        <v>1</v>
      </c>
      <c r="N14" s="32" t="s">
        <v>115</v>
      </c>
      <c r="O14" s="33">
        <v>1.0668</v>
      </c>
      <c r="P14" s="33">
        <f>0.6096*V14</f>
        <v>25.603200000000001</v>
      </c>
      <c r="Q14" s="36">
        <f t="shared" si="0"/>
        <v>1.0922000000000001</v>
      </c>
      <c r="R14" s="36">
        <f t="shared" si="1"/>
        <v>4.3070135723287363E-2</v>
      </c>
      <c r="S14" s="36">
        <f t="shared" si="2"/>
        <v>1.102733298950471</v>
      </c>
      <c r="T14" s="34">
        <v>8000</v>
      </c>
      <c r="U14" s="33">
        <f t="shared" si="3"/>
        <v>8821.8663916037676</v>
      </c>
      <c r="V14" s="50">
        <v>42</v>
      </c>
    </row>
    <row r="15" spans="1:22" x14ac:dyDescent="0.25">
      <c r="A15" s="6" t="s">
        <v>108</v>
      </c>
      <c r="B15" s="6" t="s">
        <v>48</v>
      </c>
      <c r="C15" s="6" t="s">
        <v>49</v>
      </c>
      <c r="D15" s="21">
        <f t="shared" ref="D15:D19" si="5">I15/J15</f>
        <v>401.18266167775329</v>
      </c>
      <c r="E15" s="8">
        <v>28000</v>
      </c>
      <c r="F15" s="8">
        <v>54</v>
      </c>
      <c r="G15" s="9">
        <v>1.2</v>
      </c>
      <c r="H15" s="9">
        <f t="shared" si="4"/>
        <v>0.29953886968484522</v>
      </c>
      <c r="I15" s="43">
        <v>1203.5479850332599</v>
      </c>
      <c r="J15" s="44">
        <v>3</v>
      </c>
      <c r="N15" s="32" t="s">
        <v>116</v>
      </c>
      <c r="O15" s="33">
        <f>O14</f>
        <v>1.0668</v>
      </c>
      <c r="P15" s="33">
        <f>0.6096*V15</f>
        <v>1.8288000000000002</v>
      </c>
      <c r="Q15" s="36">
        <f t="shared" ref="Q15" si="6">O15+0.0254</f>
        <v>1.0922000000000001</v>
      </c>
      <c r="R15" s="36">
        <f t="shared" ref="R15" si="7">PI()*(Q15*Q15-O15*O15)/4</f>
        <v>4.3070135723287363E-2</v>
      </c>
      <c r="S15" s="36">
        <f t="shared" ref="S15" si="8">R15*P15</f>
        <v>7.8766664210747933E-2</v>
      </c>
      <c r="T15" s="34">
        <v>8000</v>
      </c>
      <c r="U15" s="33">
        <f t="shared" ref="U15" si="9">T15*S15</f>
        <v>630.13331368598347</v>
      </c>
      <c r="V15" s="50">
        <v>3</v>
      </c>
    </row>
    <row r="16" spans="1:22" x14ac:dyDescent="0.25">
      <c r="A16" s="6" t="s">
        <v>106</v>
      </c>
      <c r="B16" s="6" t="s">
        <v>48</v>
      </c>
      <c r="C16" s="6" t="s">
        <v>49</v>
      </c>
      <c r="D16" s="21">
        <f t="shared" si="5"/>
        <v>363.70013001766</v>
      </c>
      <c r="E16" s="8">
        <v>28000</v>
      </c>
      <c r="F16" s="8">
        <v>54</v>
      </c>
      <c r="G16" s="9">
        <v>1.2</v>
      </c>
      <c r="H16" s="9">
        <f t="shared" si="4"/>
        <v>0.2756051430131134</v>
      </c>
      <c r="I16" s="43">
        <v>1091.1003900529799</v>
      </c>
      <c r="J16" s="44">
        <v>3</v>
      </c>
    </row>
    <row r="17" spans="1:10" x14ac:dyDescent="0.25">
      <c r="A17" s="6" t="s">
        <v>109</v>
      </c>
      <c r="B17" s="6" t="s">
        <v>48</v>
      </c>
      <c r="C17" s="6" t="s">
        <v>49</v>
      </c>
      <c r="D17" s="21">
        <f t="shared" si="5"/>
        <v>116.38066325632499</v>
      </c>
      <c r="E17" s="8">
        <v>28000</v>
      </c>
      <c r="F17" s="8">
        <v>54</v>
      </c>
      <c r="G17" s="9">
        <v>1.2</v>
      </c>
      <c r="H17" s="9">
        <f t="shared" si="4"/>
        <v>4.4272367852241166E-2</v>
      </c>
      <c r="I17" s="43">
        <v>116.38066325632499</v>
      </c>
      <c r="J17" s="44">
        <v>1</v>
      </c>
    </row>
    <row r="18" spans="1:10" x14ac:dyDescent="0.25">
      <c r="A18" s="6" t="s">
        <v>107</v>
      </c>
      <c r="B18" s="6" t="s">
        <v>48</v>
      </c>
      <c r="C18" s="6" t="s">
        <v>49</v>
      </c>
      <c r="D18" s="21">
        <f t="shared" si="5"/>
        <v>338.45418422109998</v>
      </c>
      <c r="E18" s="8">
        <v>28000</v>
      </c>
      <c r="F18" s="8">
        <v>54</v>
      </c>
      <c r="G18" s="9">
        <v>1.2</v>
      </c>
      <c r="H18" s="9">
        <f t="shared" si="4"/>
        <v>0.25975790999739806</v>
      </c>
      <c r="I18" s="43">
        <v>1015.3625526633</v>
      </c>
      <c r="J18" s="44">
        <v>3</v>
      </c>
    </row>
    <row r="19" spans="1:10" x14ac:dyDescent="0.25">
      <c r="A19" s="6" t="s">
        <v>114</v>
      </c>
      <c r="B19" s="6" t="s">
        <v>48</v>
      </c>
      <c r="C19" s="6" t="s">
        <v>49</v>
      </c>
      <c r="D19" s="21">
        <f t="shared" si="5"/>
        <v>499.54690294810462</v>
      </c>
      <c r="E19" s="8">
        <v>28000</v>
      </c>
      <c r="F19" s="8">
        <v>54</v>
      </c>
      <c r="G19" s="9">
        <v>1.2</v>
      </c>
      <c r="H19" s="9">
        <f t="shared" si="4"/>
        <v>7.8957324549035999</v>
      </c>
      <c r="I19" s="43">
        <v>32470.548691626798</v>
      </c>
      <c r="J19" s="44">
        <v>65</v>
      </c>
    </row>
    <row r="20" spans="1:10" x14ac:dyDescent="0.25">
      <c r="A20" s="58" t="s">
        <v>50</v>
      </c>
      <c r="B20" s="59"/>
      <c r="C20" s="59"/>
      <c r="D20" s="59"/>
      <c r="E20" s="59"/>
      <c r="F20" s="59"/>
      <c r="G20" s="59"/>
      <c r="H20" s="60"/>
    </row>
    <row r="21" spans="1:10" x14ac:dyDescent="0.25">
      <c r="A21" s="7" t="s">
        <v>88</v>
      </c>
      <c r="B21" s="6" t="s">
        <v>87</v>
      </c>
      <c r="C21" s="6" t="s">
        <v>51</v>
      </c>
      <c r="D21" s="9">
        <f>U13</f>
        <v>8821.8663916037676</v>
      </c>
      <c r="E21" s="8">
        <v>17400</v>
      </c>
      <c r="F21" s="8">
        <v>79</v>
      </c>
      <c r="G21" s="9">
        <v>0.85</v>
      </c>
      <c r="H21" s="9">
        <f>(E21+(F21*(D21^G21)))/1000000</f>
        <v>0.19578301331690975</v>
      </c>
    </row>
    <row r="22" spans="1:10" x14ac:dyDescent="0.25">
      <c r="A22" s="55" t="s">
        <v>122</v>
      </c>
      <c r="B22" s="56"/>
      <c r="C22" s="56"/>
      <c r="D22" s="56"/>
      <c r="E22" s="56"/>
      <c r="F22" s="56"/>
      <c r="G22" s="56"/>
      <c r="H22" s="57"/>
    </row>
    <row r="23" spans="1:10" x14ac:dyDescent="0.25">
      <c r="A23" s="6" t="s">
        <v>117</v>
      </c>
      <c r="B23" s="6" t="s">
        <v>118</v>
      </c>
      <c r="C23" s="6" t="s">
        <v>51</v>
      </c>
      <c r="D23" s="9">
        <f>U14</f>
        <v>8821.8663916037676</v>
      </c>
      <c r="E23" s="8">
        <v>17400</v>
      </c>
      <c r="F23" s="8">
        <v>79</v>
      </c>
      <c r="G23" s="9">
        <v>0.85</v>
      </c>
      <c r="H23" s="9">
        <f t="shared" ref="H23" si="10">(E23+(F23*(D23^G23)))/1000000</f>
        <v>0.19578301331690975</v>
      </c>
    </row>
    <row r="24" spans="1:10" x14ac:dyDescent="0.25">
      <c r="A24" s="6" t="s">
        <v>119</v>
      </c>
      <c r="B24" s="6" t="s">
        <v>120</v>
      </c>
      <c r="C24" s="6" t="s">
        <v>121</v>
      </c>
      <c r="D24" s="9">
        <f>O14</f>
        <v>1.0668</v>
      </c>
      <c r="E24" s="8">
        <v>210</v>
      </c>
      <c r="F24" s="8">
        <v>400</v>
      </c>
      <c r="G24" s="9">
        <v>1.9</v>
      </c>
      <c r="H24" s="9">
        <f>(E24+(F24*(D24^G24)))*V14/1000000</f>
        <v>2.7816211446435628E-2</v>
      </c>
    </row>
    <row r="25" spans="1:10" x14ac:dyDescent="0.25">
      <c r="A25" s="55" t="s">
        <v>123</v>
      </c>
      <c r="B25" s="56"/>
      <c r="C25" s="56"/>
      <c r="D25" s="56"/>
      <c r="E25" s="56"/>
      <c r="F25" s="56"/>
      <c r="G25" s="56"/>
      <c r="H25" s="57"/>
    </row>
    <row r="26" spans="1:10" x14ac:dyDescent="0.25">
      <c r="A26" s="6" t="s">
        <v>117</v>
      </c>
      <c r="B26" s="6" t="s">
        <v>118</v>
      </c>
      <c r="C26" s="6" t="s">
        <v>51</v>
      </c>
      <c r="D26" s="9">
        <f>U15</f>
        <v>630.13331368598347</v>
      </c>
      <c r="E26" s="8">
        <v>17400</v>
      </c>
      <c r="F26" s="8">
        <v>79</v>
      </c>
      <c r="G26" s="9">
        <v>0.85</v>
      </c>
      <c r="H26" s="9">
        <f t="shared" ref="H26" si="11">(E26+(F26*(D26^G26)))/1000000</f>
        <v>3.6329740724850484E-2</v>
      </c>
    </row>
    <row r="27" spans="1:10" x14ac:dyDescent="0.25">
      <c r="A27" s="6" t="s">
        <v>119</v>
      </c>
      <c r="B27" s="6" t="s">
        <v>120</v>
      </c>
      <c r="C27" s="6" t="s">
        <v>121</v>
      </c>
      <c r="D27" s="9">
        <f>O15</f>
        <v>1.0668</v>
      </c>
      <c r="E27" s="8">
        <v>210</v>
      </c>
      <c r="F27" s="8">
        <v>400</v>
      </c>
      <c r="G27" s="9">
        <v>1.9</v>
      </c>
      <c r="H27" s="9">
        <f>(E27+(F27*(D27^G27)))*V15/1000000</f>
        <v>1.9868722461739733E-3</v>
      </c>
    </row>
    <row r="28" spans="1:10" x14ac:dyDescent="0.25">
      <c r="H28" s="37">
        <f>SUM(H13:H27)</f>
        <v>9.2839605773606131</v>
      </c>
    </row>
    <row r="29" spans="1:10" x14ac:dyDescent="0.25">
      <c r="A29" s="24" t="s">
        <v>34</v>
      </c>
      <c r="B29" s="21">
        <v>532.9</v>
      </c>
    </row>
    <row r="30" spans="1:10" x14ac:dyDescent="0.25">
      <c r="A30" s="24" t="s">
        <v>35</v>
      </c>
      <c r="B30" s="21">
        <v>607.5</v>
      </c>
    </row>
    <row r="31" spans="1:10" x14ac:dyDescent="0.25">
      <c r="A31" s="24" t="s">
        <v>89</v>
      </c>
      <c r="B31" s="21">
        <v>816</v>
      </c>
    </row>
    <row r="32" spans="1:10" x14ac:dyDescent="0.25">
      <c r="A32" s="24" t="s">
        <v>52</v>
      </c>
      <c r="B32" s="21">
        <f>H28*B30/B29</f>
        <v>10.583610528704396</v>
      </c>
    </row>
    <row r="33" spans="1:14" x14ac:dyDescent="0.25">
      <c r="A33" s="24" t="s">
        <v>90</v>
      </c>
      <c r="B33" s="21">
        <f>H28*B31/B29</f>
        <v>14.216010191642448</v>
      </c>
    </row>
    <row r="34" spans="1:14" x14ac:dyDescent="0.25">
      <c r="A34" s="38"/>
      <c r="B34" s="31"/>
    </row>
    <row r="35" spans="1:14" x14ac:dyDescent="0.25">
      <c r="B35" s="35">
        <v>2022</v>
      </c>
      <c r="C35" s="30"/>
      <c r="D35"/>
    </row>
    <row r="36" spans="1:14" x14ac:dyDescent="0.25">
      <c r="A36" s="26" t="s">
        <v>53</v>
      </c>
      <c r="B36" s="39">
        <f>(B33)*((1+C3)+(C2+C5+C4+C6+C7+C8)/C9)*C9</f>
        <v>53.16787811674277</v>
      </c>
      <c r="C36" s="30"/>
      <c r="D36"/>
    </row>
    <row r="37" spans="1:14" x14ac:dyDescent="0.25">
      <c r="A37" s="26" t="s">
        <v>54</v>
      </c>
      <c r="B37" s="39">
        <f>0.3*B36</f>
        <v>15.95036343502283</v>
      </c>
      <c r="C37" s="30"/>
      <c r="D37"/>
    </row>
    <row r="38" spans="1:14" x14ac:dyDescent="0.25">
      <c r="A38" s="26" t="s">
        <v>55</v>
      </c>
      <c r="B38" s="39">
        <f>0.3*SUM(B36:B37)</f>
        <v>20.735472465529682</v>
      </c>
      <c r="D38"/>
    </row>
    <row r="39" spans="1:14" x14ac:dyDescent="0.25">
      <c r="A39" s="26" t="s">
        <v>56</v>
      </c>
      <c r="B39" s="39">
        <f>0.1*SUM(B36:B37)</f>
        <v>6.9118241551765607</v>
      </c>
      <c r="D39"/>
    </row>
    <row r="40" spans="1:14" x14ac:dyDescent="0.25">
      <c r="A40" s="26" t="s">
        <v>57</v>
      </c>
      <c r="B40" s="39">
        <f>B36*(1+0.3)*(1+0.3+0.1)</f>
        <v>96.765538172471864</v>
      </c>
      <c r="D40"/>
    </row>
    <row r="41" spans="1:14" x14ac:dyDescent="0.25">
      <c r="A41" s="26" t="s">
        <v>60</v>
      </c>
      <c r="B41" s="39">
        <f>B40*0.15</f>
        <v>14.514830725870778</v>
      </c>
      <c r="D41"/>
    </row>
    <row r="42" spans="1:14" x14ac:dyDescent="0.25">
      <c r="A42" s="26" t="s">
        <v>58</v>
      </c>
      <c r="B42" s="39">
        <f>B40+B41</f>
        <v>111.28036889834264</v>
      </c>
      <c r="D42"/>
    </row>
    <row r="43" spans="1:14" x14ac:dyDescent="0.25">
      <c r="A43" s="26" t="s">
        <v>26</v>
      </c>
      <c r="B43" s="39">
        <v>25</v>
      </c>
      <c r="C43" s="30"/>
      <c r="D43"/>
      <c r="N43" s="41"/>
    </row>
    <row r="44" spans="1:14" x14ac:dyDescent="0.25">
      <c r="A44" s="26" t="s">
        <v>27</v>
      </c>
      <c r="B44" s="39">
        <v>0.12</v>
      </c>
      <c r="C44" s="30"/>
      <c r="D44"/>
    </row>
    <row r="45" spans="1:14" x14ac:dyDescent="0.25">
      <c r="A45" s="26" t="s">
        <v>28</v>
      </c>
      <c r="B45" s="39">
        <f>(B44*((1+B44)^B43))/(((1+B44)^B43)-1)</f>
        <v>0.12749996980950773</v>
      </c>
      <c r="C45" s="30"/>
      <c r="D45"/>
    </row>
    <row r="46" spans="1:14" x14ac:dyDescent="0.25">
      <c r="A46" s="26" t="s">
        <v>59</v>
      </c>
      <c r="B46" s="39">
        <f>B45*B42</f>
        <v>14.18824367492957</v>
      </c>
      <c r="C46" s="30"/>
      <c r="D46"/>
    </row>
    <row r="47" spans="1:14" x14ac:dyDescent="0.25">
      <c r="A47" s="25" t="s">
        <v>36</v>
      </c>
      <c r="B47" s="19">
        <f>B46</f>
        <v>14.18824367492957</v>
      </c>
      <c r="C47" s="30"/>
      <c r="D47"/>
    </row>
    <row r="91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</sheetData>
  <mergeCells count="4">
    <mergeCell ref="A13:H13"/>
    <mergeCell ref="A20:H20"/>
    <mergeCell ref="A25:H25"/>
    <mergeCell ref="A22:H22"/>
  </mergeCells>
  <conditionalFormatting sqref="I14">
    <cfRule type="cellIs" dxfId="1" priority="4" operator="lessThanOrEqual">
      <formula>1000</formula>
    </cfRule>
  </conditionalFormatting>
  <conditionalFormatting sqref="I15:I19">
    <cfRule type="cellIs" dxfId="0" priority="2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zoomScale="115" zoomScaleNormal="115" workbookViewId="0">
      <selection activeCell="I14" sqref="I14"/>
    </sheetView>
  </sheetViews>
  <sheetFormatPr defaultRowHeight="15" x14ac:dyDescent="0.25"/>
  <cols>
    <col min="1" max="1" width="15.28515625" customWidth="1"/>
    <col min="2" max="2" width="30.42578125" bestFit="1" customWidth="1"/>
    <col min="3" max="3" width="8.5703125" bestFit="1" customWidth="1"/>
  </cols>
  <sheetData>
    <row r="3" spans="1:3" x14ac:dyDescent="0.25">
      <c r="A3" s="61">
        <v>2022</v>
      </c>
      <c r="B3" s="61"/>
      <c r="C3" s="61"/>
    </row>
    <row r="4" spans="1:3" x14ac:dyDescent="0.25">
      <c r="A4" s="35" t="s">
        <v>63</v>
      </c>
      <c r="B4" s="35" t="s">
        <v>64</v>
      </c>
      <c r="C4" s="13" t="s">
        <v>37</v>
      </c>
    </row>
    <row r="5" spans="1:3" x14ac:dyDescent="0.25">
      <c r="A5" s="61" t="s">
        <v>79</v>
      </c>
      <c r="B5" s="61"/>
      <c r="C5" s="61"/>
    </row>
    <row r="6" spans="1:3" x14ac:dyDescent="0.25">
      <c r="A6" s="10" t="s">
        <v>71</v>
      </c>
      <c r="B6" s="10" t="s">
        <v>82</v>
      </c>
      <c r="C6" s="10">
        <f>50000*9*9/1000000</f>
        <v>4.05</v>
      </c>
    </row>
    <row r="7" spans="1:3" x14ac:dyDescent="0.25">
      <c r="A7" s="10" t="s">
        <v>61</v>
      </c>
      <c r="B7" s="10" t="s">
        <v>62</v>
      </c>
      <c r="C7" s="21">
        <f>0.25*C6</f>
        <v>1.0125</v>
      </c>
    </row>
    <row r="8" spans="1:3" x14ac:dyDescent="0.25">
      <c r="A8" s="10" t="s">
        <v>65</v>
      </c>
      <c r="B8" s="10" t="s">
        <v>66</v>
      </c>
      <c r="C8" s="21">
        <f>0.45*(C6+C7)</f>
        <v>2.2781250000000002</v>
      </c>
    </row>
    <row r="9" spans="1:3" x14ac:dyDescent="0.25">
      <c r="A9" s="55"/>
      <c r="B9" s="57"/>
      <c r="C9" s="17">
        <f>SUM(C6:C8)</f>
        <v>7.3406250000000002</v>
      </c>
    </row>
    <row r="10" spans="1:3" x14ac:dyDescent="0.25">
      <c r="A10" s="61" t="s">
        <v>80</v>
      </c>
      <c r="B10" s="61"/>
      <c r="C10" s="61"/>
    </row>
    <row r="11" spans="1:3" x14ac:dyDescent="0.25">
      <c r="A11" s="10" t="s">
        <v>67</v>
      </c>
      <c r="B11" s="10" t="s">
        <v>68</v>
      </c>
      <c r="C11" s="23">
        <f>0.03*CAPEX!B36</f>
        <v>1.595036343502283</v>
      </c>
    </row>
    <row r="12" spans="1:3" x14ac:dyDescent="0.25">
      <c r="A12" s="61"/>
      <c r="B12" s="61"/>
      <c r="C12" s="28">
        <f>C11</f>
        <v>1.595036343502283</v>
      </c>
    </row>
    <row r="13" spans="1:3" x14ac:dyDescent="0.25">
      <c r="A13" s="55" t="s">
        <v>69</v>
      </c>
      <c r="B13" s="56"/>
      <c r="C13" s="57"/>
    </row>
    <row r="14" spans="1:3" x14ac:dyDescent="0.25">
      <c r="A14" s="10" t="s">
        <v>70</v>
      </c>
      <c r="B14" s="10" t="s">
        <v>72</v>
      </c>
      <c r="C14" s="21">
        <f>0.65*(C6+C7+C8+C11)</f>
        <v>5.808179873276484</v>
      </c>
    </row>
    <row r="15" spans="1:3" x14ac:dyDescent="0.25">
      <c r="A15" s="10" t="s">
        <v>73</v>
      </c>
      <c r="B15" s="10" t="s">
        <v>75</v>
      </c>
      <c r="C15" s="21">
        <f>0.02*(CAPEX!B36+CAPEX!B37)</f>
        <v>1.3823648310353123</v>
      </c>
    </row>
    <row r="16" spans="1:3" x14ac:dyDescent="0.25">
      <c r="A16" s="61"/>
      <c r="B16" s="61"/>
      <c r="C16" s="28">
        <f>SUM(C14:C15)</f>
        <v>7.1905447043117965</v>
      </c>
    </row>
    <row r="17" spans="1:3" x14ac:dyDescent="0.25">
      <c r="A17" s="55" t="s">
        <v>76</v>
      </c>
      <c r="B17" s="56"/>
      <c r="C17" s="57"/>
    </row>
    <row r="18" spans="1:3" x14ac:dyDescent="0.25">
      <c r="A18" s="10" t="s">
        <v>77</v>
      </c>
      <c r="B18" s="10" t="s">
        <v>78</v>
      </c>
      <c r="C18" s="23">
        <f>0.06*CAPEX!B41</f>
        <v>0.87088984355224663</v>
      </c>
    </row>
    <row r="19" spans="1:3" x14ac:dyDescent="0.25">
      <c r="A19" s="61"/>
      <c r="B19" s="61"/>
      <c r="C19" s="17">
        <f>C18</f>
        <v>0.87088984355224663</v>
      </c>
    </row>
    <row r="20" spans="1:3" x14ac:dyDescent="0.25">
      <c r="A20" s="55" t="s">
        <v>81</v>
      </c>
      <c r="B20" s="57"/>
      <c r="C20" s="17">
        <f>C9+C12+C16+C19</f>
        <v>16.997095891366325</v>
      </c>
    </row>
  </sheetData>
  <mergeCells count="10">
    <mergeCell ref="A3:C3"/>
    <mergeCell ref="A5:C5"/>
    <mergeCell ref="A9:B9"/>
    <mergeCell ref="A10:C10"/>
    <mergeCell ref="A20:B20"/>
    <mergeCell ref="A12:B12"/>
    <mergeCell ref="A13:C13"/>
    <mergeCell ref="A16:B16"/>
    <mergeCell ref="A17:C17"/>
    <mergeCell ref="A19:B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9"/>
  <sheetViews>
    <sheetView zoomScale="115" zoomScaleNormal="115" workbookViewId="0">
      <selection activeCell="E7" sqref="E7"/>
    </sheetView>
  </sheetViews>
  <sheetFormatPr defaultColWidth="8.85546875" defaultRowHeight="15" x14ac:dyDescent="0.25"/>
  <cols>
    <col min="1" max="1" width="8.85546875" style="11"/>
    <col min="2" max="2" width="19.85546875" style="11" bestFit="1" customWidth="1"/>
    <col min="3" max="3" width="8.28515625" style="11" bestFit="1" customWidth="1"/>
    <col min="4" max="4" width="10.140625" style="11" bestFit="1" customWidth="1"/>
    <col min="5" max="5" width="17.7109375" style="11" bestFit="1" customWidth="1"/>
    <col min="6" max="6" width="10.5703125" style="11" bestFit="1" customWidth="1"/>
    <col min="7" max="8" width="9.28515625" style="11" customWidth="1"/>
    <col min="9" max="9" width="14.5703125" style="11" bestFit="1" customWidth="1"/>
    <col min="10" max="11" width="8.85546875" style="11"/>
    <col min="12" max="13" width="9.140625" style="11" bestFit="1" customWidth="1"/>
    <col min="14" max="16384" width="8.85546875" style="11"/>
  </cols>
  <sheetData>
    <row r="2" spans="2:13" x14ac:dyDescent="0.25">
      <c r="B2" s="1"/>
    </row>
    <row r="3" spans="2:13" x14ac:dyDescent="0.25">
      <c r="B3" s="13" t="s">
        <v>23</v>
      </c>
      <c r="C3" s="13" t="s">
        <v>29</v>
      </c>
      <c r="D3" s="13" t="s">
        <v>30</v>
      </c>
      <c r="E3" s="13" t="s">
        <v>101</v>
      </c>
      <c r="F3" s="13" t="s">
        <v>98</v>
      </c>
      <c r="I3" s="47" t="s">
        <v>125</v>
      </c>
      <c r="J3" s="49">
        <v>2022</v>
      </c>
      <c r="K3" s="49">
        <v>2050</v>
      </c>
    </row>
    <row r="4" spans="2:13" x14ac:dyDescent="0.25">
      <c r="B4" s="55" t="s">
        <v>99</v>
      </c>
      <c r="C4" s="56"/>
      <c r="D4" s="56"/>
      <c r="E4" s="56"/>
      <c r="F4" s="57"/>
      <c r="G4" s="1"/>
      <c r="H4" s="1"/>
      <c r="I4" s="47" t="s">
        <v>110</v>
      </c>
      <c r="J4" s="40">
        <v>800</v>
      </c>
      <c r="K4" s="40">
        <f>J4*596.2/550.8*596.2/550.8*596.2/550.8</f>
        <v>1014.5748846018851</v>
      </c>
    </row>
    <row r="5" spans="2:13" x14ac:dyDescent="0.25">
      <c r="B5" s="12" t="s">
        <v>97</v>
      </c>
      <c r="C5" s="12" t="s">
        <v>31</v>
      </c>
      <c r="D5" s="23">
        <v>0</v>
      </c>
      <c r="E5" s="40">
        <v>0</v>
      </c>
      <c r="F5" s="40">
        <f>D5*E5</f>
        <v>0</v>
      </c>
      <c r="J5" s="51"/>
      <c r="K5" s="51"/>
    </row>
    <row r="6" spans="2:13" x14ac:dyDescent="0.25">
      <c r="B6" s="12" t="s">
        <v>124</v>
      </c>
      <c r="C6" s="12" t="s">
        <v>31</v>
      </c>
      <c r="D6" s="23">
        <v>31.0685844878981</v>
      </c>
      <c r="E6" s="40">
        <v>800</v>
      </c>
      <c r="F6" s="40">
        <f>D6*E6</f>
        <v>24854.867590318481</v>
      </c>
      <c r="G6" s="54">
        <f>F6/Summary!$C$23</f>
        <v>0.66279646911249523</v>
      </c>
      <c r="J6" s="48">
        <v>2022</v>
      </c>
      <c r="K6" s="49">
        <v>2022</v>
      </c>
      <c r="L6" s="49">
        <v>2050</v>
      </c>
      <c r="M6" s="2">
        <v>2050</v>
      </c>
    </row>
    <row r="7" spans="2:13" x14ac:dyDescent="0.25">
      <c r="B7" s="12" t="s">
        <v>126</v>
      </c>
      <c r="C7" s="12" t="s">
        <v>31</v>
      </c>
      <c r="D7" s="23">
        <v>17.825248463383101</v>
      </c>
      <c r="E7" s="40">
        <v>520</v>
      </c>
      <c r="F7" s="40">
        <f>D7*E7</f>
        <v>9269.1292009592125</v>
      </c>
      <c r="G7" s="54">
        <f>F7/Summary!$C$23</f>
        <v>0.2471767787061693</v>
      </c>
      <c r="I7" s="47" t="s">
        <v>129</v>
      </c>
      <c r="J7" s="49" t="s">
        <v>110</v>
      </c>
      <c r="K7" s="49" t="s">
        <v>131</v>
      </c>
      <c r="L7" s="49" t="s">
        <v>110</v>
      </c>
      <c r="M7" s="49" t="s">
        <v>131</v>
      </c>
    </row>
    <row r="8" spans="2:13" x14ac:dyDescent="0.25">
      <c r="B8" s="12" t="s">
        <v>127</v>
      </c>
      <c r="C8" s="12" t="s">
        <v>31</v>
      </c>
      <c r="D8" s="23">
        <v>17.825248463383101</v>
      </c>
      <c r="E8" s="40">
        <v>1157.6792143758207</v>
      </c>
      <c r="F8" s="40">
        <f>D8*E8</f>
        <v>20635.919637143154</v>
      </c>
      <c r="G8" s="54">
        <f>F8/Summary!$C$23</f>
        <v>0.55029119035481566</v>
      </c>
      <c r="I8" s="47" t="s">
        <v>111</v>
      </c>
      <c r="J8" s="40">
        <v>587</v>
      </c>
      <c r="K8" s="40">
        <v>879</v>
      </c>
      <c r="L8" s="39">
        <v>394</v>
      </c>
      <c r="M8" s="40">
        <v>579</v>
      </c>
    </row>
    <row r="9" spans="2:13" x14ac:dyDescent="0.25">
      <c r="B9" s="55" t="s">
        <v>100</v>
      </c>
      <c r="C9" s="56"/>
      <c r="D9" s="56"/>
      <c r="E9" s="56"/>
      <c r="F9" s="57"/>
      <c r="G9" s="54"/>
      <c r="I9" s="47" t="s">
        <v>112</v>
      </c>
      <c r="J9" s="40">
        <v>686</v>
      </c>
      <c r="K9" s="40">
        <v>1465</v>
      </c>
      <c r="L9" s="39">
        <v>520</v>
      </c>
      <c r="M9" s="40">
        <v>1015</v>
      </c>
    </row>
    <row r="10" spans="2:13" x14ac:dyDescent="0.25">
      <c r="B10" s="14" t="s">
        <v>24</v>
      </c>
      <c r="C10" s="14" t="s">
        <v>32</v>
      </c>
      <c r="D10" s="9">
        <v>36.714540211156802</v>
      </c>
      <c r="E10" s="40">
        <f>0.38*C19/C18</f>
        <v>0.51041975308641974</v>
      </c>
      <c r="F10" s="40">
        <f>D10*E10</f>
        <v>18.739826549260084</v>
      </c>
      <c r="G10" s="54">
        <f>F10/Summary!$C$23</f>
        <v>4.9972870800841899E-4</v>
      </c>
      <c r="I10" s="53" t="s">
        <v>130</v>
      </c>
      <c r="J10" s="40">
        <v>635.64706468633074</v>
      </c>
      <c r="K10" s="40">
        <v>1157.6792143758207</v>
      </c>
      <c r="L10" s="40">
        <v>457</v>
      </c>
      <c r="M10" s="40">
        <v>797</v>
      </c>
    </row>
    <row r="11" spans="2:13" x14ac:dyDescent="0.25">
      <c r="B11" s="14" t="s">
        <v>128</v>
      </c>
      <c r="C11" s="14" t="s">
        <v>32</v>
      </c>
      <c r="D11" s="9">
        <v>479.38427730619998</v>
      </c>
      <c r="E11" s="52">
        <v>6.1159844887789303</v>
      </c>
      <c r="F11" s="40">
        <f>D11*E11</f>
        <v>2931.9068041692162</v>
      </c>
      <c r="G11" s="54">
        <f>F11/Summary!$C$23</f>
        <v>7.8184181448916604E-2</v>
      </c>
    </row>
    <row r="12" spans="2:13" x14ac:dyDescent="0.25">
      <c r="B12" s="14" t="s">
        <v>25</v>
      </c>
      <c r="C12" s="14" t="s">
        <v>33</v>
      </c>
      <c r="D12" s="9">
        <v>0</v>
      </c>
      <c r="E12" s="39">
        <f>69.6/1000*C19/C18</f>
        <v>9.3487407407407408E-2</v>
      </c>
      <c r="F12" s="40">
        <f>D12*E12</f>
        <v>0</v>
      </c>
      <c r="G12" s="54">
        <f>F12/Summary!$C$23</f>
        <v>0</v>
      </c>
      <c r="H12" s="15"/>
    </row>
    <row r="13" spans="2:13" x14ac:dyDescent="0.25">
      <c r="B13" s="49" t="s">
        <v>102</v>
      </c>
      <c r="C13" s="18" t="s">
        <v>37</v>
      </c>
      <c r="D13" s="16"/>
      <c r="E13" s="19"/>
      <c r="F13" s="19">
        <f>(F5+F6+F7+F10+F11)/1000000*8000</f>
        <v>296.59714737596931</v>
      </c>
    </row>
    <row r="14" spans="2:13" x14ac:dyDescent="0.25">
      <c r="B14" s="49" t="s">
        <v>103</v>
      </c>
      <c r="C14" s="18" t="s">
        <v>37</v>
      </c>
      <c r="D14" s="16"/>
      <c r="E14" s="19"/>
      <c r="F14" s="19">
        <f>(F5+F6+F8+F10+F11)/1000000*8000</f>
        <v>387.53147086544095</v>
      </c>
    </row>
    <row r="15" spans="2:13" x14ac:dyDescent="0.25">
      <c r="B15" s="15"/>
      <c r="C15" s="15"/>
      <c r="D15" s="15"/>
      <c r="E15" s="15"/>
      <c r="F15" s="15"/>
    </row>
    <row r="16" spans="2:13" x14ac:dyDescent="0.25">
      <c r="B16" s="27" t="s">
        <v>84</v>
      </c>
      <c r="C16" s="15"/>
      <c r="D16" s="15"/>
      <c r="E16" s="15"/>
      <c r="F16" s="15"/>
    </row>
    <row r="17" spans="2:5" x14ac:dyDescent="0.25">
      <c r="B17" s="14" t="s">
        <v>83</v>
      </c>
      <c r="C17" s="23">
        <v>603.1</v>
      </c>
      <c r="E17" s="46"/>
    </row>
    <row r="18" spans="2:5" x14ac:dyDescent="0.25">
      <c r="B18" s="14" t="s">
        <v>35</v>
      </c>
      <c r="C18" s="21">
        <v>607.5</v>
      </c>
    </row>
    <row r="19" spans="2:5" x14ac:dyDescent="0.25">
      <c r="B19" s="24" t="s">
        <v>89</v>
      </c>
      <c r="C19" s="21">
        <v>816</v>
      </c>
      <c r="E19" s="46"/>
    </row>
  </sheetData>
  <mergeCells count="2">
    <mergeCell ref="B9:F9"/>
    <mergeCell ref="B4:F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1"/>
  <sheetViews>
    <sheetView tabSelected="1" zoomScaleNormal="100" workbookViewId="0">
      <selection activeCell="O13" sqref="O13"/>
    </sheetView>
  </sheetViews>
  <sheetFormatPr defaultRowHeight="15" x14ac:dyDescent="0.25"/>
  <cols>
    <col min="2" max="2" width="36.5703125" bestFit="1" customWidth="1"/>
    <col min="3" max="3" width="12.5703125" bestFit="1" customWidth="1"/>
    <col min="6" max="6" width="36.5703125" bestFit="1" customWidth="1"/>
    <col min="7" max="7" width="12.5703125" bestFit="1" customWidth="1"/>
  </cols>
  <sheetData>
    <row r="2" spans="2:7" x14ac:dyDescent="0.25">
      <c r="B2" s="61" t="s">
        <v>96</v>
      </c>
      <c r="C2" s="61"/>
      <c r="F2" s="61" t="s">
        <v>104</v>
      </c>
      <c r="G2" s="61"/>
    </row>
    <row r="3" spans="2:7" x14ac:dyDescent="0.25">
      <c r="B3" s="10" t="s">
        <v>91</v>
      </c>
      <c r="C3" s="21">
        <f>CAPEX!B33</f>
        <v>14.216010191642448</v>
      </c>
      <c r="F3" s="10" t="s">
        <v>91</v>
      </c>
      <c r="G3" s="21">
        <f t="shared" ref="G3:G17" si="0">C3</f>
        <v>14.216010191642448</v>
      </c>
    </row>
    <row r="4" spans="2:7" x14ac:dyDescent="0.25">
      <c r="B4" s="26" t="s">
        <v>53</v>
      </c>
      <c r="C4" s="21">
        <f>CAPEX!B36</f>
        <v>53.16787811674277</v>
      </c>
      <c r="F4" s="26" t="s">
        <v>53</v>
      </c>
      <c r="G4" s="21">
        <f t="shared" si="0"/>
        <v>53.16787811674277</v>
      </c>
    </row>
    <row r="5" spans="2:7" x14ac:dyDescent="0.25">
      <c r="B5" s="26" t="s">
        <v>54</v>
      </c>
      <c r="C5" s="21">
        <f>CAPEX!B37</f>
        <v>15.95036343502283</v>
      </c>
      <c r="F5" s="26" t="s">
        <v>54</v>
      </c>
      <c r="G5" s="21">
        <f t="shared" si="0"/>
        <v>15.95036343502283</v>
      </c>
    </row>
    <row r="6" spans="2:7" x14ac:dyDescent="0.25">
      <c r="B6" s="26" t="s">
        <v>74</v>
      </c>
      <c r="C6" s="21">
        <f>CAPEX!B38</f>
        <v>20.735472465529682</v>
      </c>
      <c r="F6" s="26" t="s">
        <v>74</v>
      </c>
      <c r="G6" s="21">
        <f t="shared" si="0"/>
        <v>20.735472465529682</v>
      </c>
    </row>
    <row r="7" spans="2:7" x14ac:dyDescent="0.25">
      <c r="B7" s="26" t="s">
        <v>56</v>
      </c>
      <c r="C7" s="21">
        <f>CAPEX!B39</f>
        <v>6.9118241551765607</v>
      </c>
      <c r="F7" s="26" t="s">
        <v>56</v>
      </c>
      <c r="G7" s="21">
        <f t="shared" si="0"/>
        <v>6.9118241551765607</v>
      </c>
    </row>
    <row r="8" spans="2:7" x14ac:dyDescent="0.25">
      <c r="B8" s="26" t="s">
        <v>57</v>
      </c>
      <c r="C8" s="21">
        <f>CAPEX!B40</f>
        <v>96.765538172471864</v>
      </c>
      <c r="F8" s="26" t="s">
        <v>57</v>
      </c>
      <c r="G8" s="21">
        <f t="shared" si="0"/>
        <v>96.765538172471864</v>
      </c>
    </row>
    <row r="9" spans="2:7" x14ac:dyDescent="0.25">
      <c r="B9" s="26" t="s">
        <v>60</v>
      </c>
      <c r="C9" s="21">
        <f>CAPEX!B41</f>
        <v>14.514830725870778</v>
      </c>
      <c r="F9" s="26" t="s">
        <v>60</v>
      </c>
      <c r="G9" s="21">
        <f t="shared" si="0"/>
        <v>14.514830725870778</v>
      </c>
    </row>
    <row r="10" spans="2:7" x14ac:dyDescent="0.25">
      <c r="B10" s="10" t="s">
        <v>58</v>
      </c>
      <c r="C10" s="21">
        <f>CAPEX!B42</f>
        <v>111.28036889834264</v>
      </c>
      <c r="F10" s="10" t="s">
        <v>58</v>
      </c>
      <c r="G10" s="21">
        <f t="shared" si="0"/>
        <v>111.28036889834264</v>
      </c>
    </row>
    <row r="11" spans="2:7" x14ac:dyDescent="0.25">
      <c r="B11" s="10" t="s">
        <v>79</v>
      </c>
      <c r="C11" s="21">
        <f>SUM('Production costs'!B9)</f>
        <v>0</v>
      </c>
      <c r="F11" s="10" t="s">
        <v>79</v>
      </c>
      <c r="G11" s="21">
        <f t="shared" si="0"/>
        <v>0</v>
      </c>
    </row>
    <row r="12" spans="2:7" x14ac:dyDescent="0.25">
      <c r="B12" s="10" t="s">
        <v>80</v>
      </c>
      <c r="C12" s="21">
        <f>SUM('Production costs'!B12)</f>
        <v>0</v>
      </c>
      <c r="F12" s="10" t="s">
        <v>80</v>
      </c>
      <c r="G12" s="21">
        <f t="shared" si="0"/>
        <v>0</v>
      </c>
    </row>
    <row r="13" spans="2:7" x14ac:dyDescent="0.25">
      <c r="B13" s="10" t="s">
        <v>69</v>
      </c>
      <c r="C13" s="21">
        <f>SUM('Production costs'!B16)</f>
        <v>0</v>
      </c>
      <c r="F13" s="10" t="s">
        <v>69</v>
      </c>
      <c r="G13" s="21">
        <f t="shared" si="0"/>
        <v>0</v>
      </c>
    </row>
    <row r="14" spans="2:7" x14ac:dyDescent="0.25">
      <c r="B14" s="10" t="s">
        <v>76</v>
      </c>
      <c r="C14" s="21">
        <f>SUM('Production costs'!B19)</f>
        <v>0</v>
      </c>
      <c r="F14" s="10" t="s">
        <v>76</v>
      </c>
      <c r="G14" s="21">
        <f t="shared" si="0"/>
        <v>0</v>
      </c>
    </row>
    <row r="15" spans="2:7" x14ac:dyDescent="0.25">
      <c r="B15" s="10" t="s">
        <v>26</v>
      </c>
      <c r="C15" s="21">
        <v>25</v>
      </c>
      <c r="F15" s="10" t="s">
        <v>26</v>
      </c>
      <c r="G15" s="21">
        <f t="shared" si="0"/>
        <v>25</v>
      </c>
    </row>
    <row r="16" spans="2:7" x14ac:dyDescent="0.25">
      <c r="B16" s="10" t="s">
        <v>27</v>
      </c>
      <c r="C16" s="21">
        <v>0.12</v>
      </c>
      <c r="F16" s="10" t="s">
        <v>27</v>
      </c>
      <c r="G16" s="21">
        <f t="shared" si="0"/>
        <v>0.12</v>
      </c>
    </row>
    <row r="17" spans="2:7" x14ac:dyDescent="0.25">
      <c r="B17" s="10" t="s">
        <v>28</v>
      </c>
      <c r="C17" s="20">
        <v>0.12749996980950773</v>
      </c>
      <c r="F17" s="10" t="s">
        <v>28</v>
      </c>
      <c r="G17" s="20">
        <f t="shared" si="0"/>
        <v>0.12749996980950773</v>
      </c>
    </row>
    <row r="18" spans="2:7" x14ac:dyDescent="0.25">
      <c r="B18" s="13" t="s">
        <v>36</v>
      </c>
      <c r="C18" s="17">
        <f>CAPEX!B47</f>
        <v>14.18824367492957</v>
      </c>
      <c r="F18" s="13" t="s">
        <v>36</v>
      </c>
      <c r="G18" s="17">
        <f>C18</f>
        <v>14.18824367492957</v>
      </c>
    </row>
    <row r="19" spans="2:7" x14ac:dyDescent="0.25">
      <c r="B19" s="13" t="s">
        <v>95</v>
      </c>
      <c r="C19" s="17">
        <v>0</v>
      </c>
      <c r="F19" s="13" t="s">
        <v>95</v>
      </c>
      <c r="G19" s="17">
        <v>0</v>
      </c>
    </row>
    <row r="20" spans="2:7" x14ac:dyDescent="0.25">
      <c r="B20" s="13" t="s">
        <v>85</v>
      </c>
      <c r="C20" s="17">
        <f>OPEX!F13</f>
        <v>296.59714737596931</v>
      </c>
      <c r="F20" s="13" t="s">
        <v>85</v>
      </c>
      <c r="G20" s="17">
        <f>OPEX!F14</f>
        <v>387.53147086544095</v>
      </c>
    </row>
    <row r="21" spans="2:7" x14ac:dyDescent="0.25">
      <c r="B21" s="13" t="s">
        <v>94</v>
      </c>
      <c r="C21" s="17">
        <f>(C18+C19+C20)</f>
        <v>310.78539105089891</v>
      </c>
      <c r="F21" s="13" t="s">
        <v>94</v>
      </c>
      <c r="G21" s="17">
        <f>(G18+G19+G20)</f>
        <v>401.71971454037055</v>
      </c>
    </row>
    <row r="22" spans="2:7" x14ac:dyDescent="0.25">
      <c r="B22" s="13" t="s">
        <v>93</v>
      </c>
      <c r="C22" s="17">
        <f>(C21)*1000000/8000</f>
        <v>38848.173881362367</v>
      </c>
      <c r="F22" s="13" t="s">
        <v>93</v>
      </c>
      <c r="G22" s="17">
        <f>(G21)*1000000/8000</f>
        <v>50214.964317546313</v>
      </c>
    </row>
    <row r="23" spans="2:7" x14ac:dyDescent="0.25">
      <c r="B23" s="27" t="s">
        <v>92</v>
      </c>
      <c r="C23" s="17">
        <v>37499.9999978876</v>
      </c>
      <c r="F23" s="27" t="s">
        <v>92</v>
      </c>
      <c r="G23" s="17">
        <v>37499.9999978876</v>
      </c>
    </row>
    <row r="24" spans="2:7" x14ac:dyDescent="0.25">
      <c r="B24" s="29" t="s">
        <v>105</v>
      </c>
      <c r="C24" s="42">
        <f>C22/C23</f>
        <v>1.0359513035613523</v>
      </c>
      <c r="F24" s="29" t="s">
        <v>105</v>
      </c>
      <c r="G24" s="42">
        <f>G22/G23</f>
        <v>1.3390657152099987</v>
      </c>
    </row>
    <row r="28" spans="2:7" x14ac:dyDescent="0.25">
      <c r="C28" s="45"/>
    </row>
    <row r="29" spans="2:7" x14ac:dyDescent="0.25">
      <c r="C29" s="45"/>
    </row>
    <row r="30" spans="2:7" x14ac:dyDescent="0.25">
      <c r="C30" s="45"/>
    </row>
    <row r="31" spans="2:7" x14ac:dyDescent="0.25">
      <c r="C31" s="45"/>
    </row>
  </sheetData>
  <mergeCells count="2">
    <mergeCell ref="B2:C2"/>
    <mergeCell ref="F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2025-09-09T13:04:58Z</dcterms:modified>
</cp:coreProperties>
</file>