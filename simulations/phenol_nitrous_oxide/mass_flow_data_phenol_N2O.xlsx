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phenol_nitrous_oxide\"/>
    </mc:Choice>
  </mc:AlternateContent>
  <xr:revisionPtr revIDLastSave="0" documentId="13_ncr:1_{5F211BE1-11AD-4778-AC81-BA369D3593EC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2" i="3"/>
  <c r="E11" i="3"/>
  <c r="C4" i="3" s="1"/>
  <c r="E10" i="3"/>
  <c r="C3" i="3" s="1"/>
  <c r="D3" i="3" s="1"/>
  <c r="C2" i="3"/>
  <c r="E9" i="3"/>
  <c r="D3" i="2" l="1"/>
  <c r="C5" i="2" l="1"/>
  <c r="E8" i="1" l="1"/>
  <c r="D4" i="2" l="1"/>
  <c r="E7" i="1"/>
  <c r="D5" i="2" l="1"/>
  <c r="E6" i="1"/>
  <c r="E5" i="1"/>
  <c r="E4" i="1"/>
  <c r="E9" i="1"/>
</calcChain>
</file>

<file path=xl/sharedStrings.xml><?xml version="1.0" encoding="utf-8"?>
<sst xmlns="http://schemas.openxmlformats.org/spreadsheetml/2006/main" count="50" uniqueCount="34">
  <si>
    <t>Component</t>
  </si>
  <si>
    <t>Type</t>
  </si>
  <si>
    <t>Mass flow (kg/hr)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</si>
  <si>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</si>
  <si>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</si>
  <si>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</si>
  <si>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</si>
  <si>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</si>
  <si>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</si>
  <si>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</si>
  <si>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</si>
  <si>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</si>
  <si>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</si>
  <si>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</si>
  <si>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</si>
  <si>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</si>
  <si>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</si>
  <si>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</si>
  <si>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</si>
  <si>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</si>
  <si>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</si>
  <si>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</si>
  <si>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</si>
  <si>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t>K-101</t>
  </si>
  <si>
    <t>Nitrogen</t>
  </si>
  <si>
    <t>Final product: phenol</t>
  </si>
  <si>
    <t>Benzene</t>
  </si>
  <si>
    <t>Phenol</t>
  </si>
  <si>
    <t>Purge</t>
  </si>
  <si>
    <t>Refrigerant -75</t>
  </si>
  <si>
    <t>Firead heat natural gas</t>
  </si>
  <si>
    <t>Flow/kg phenol</t>
  </si>
  <si>
    <t>kWh/kg phenol</t>
  </si>
  <si>
    <t>Mass/kg 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</si>
</sst>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115" zoomScaleNormal="115" workbookViewId="0">
      <selection activeCell="F4" sqref="F4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5.28515625" style="1" bestFit="1" customWidth="1"/>
    <col min="6" max="16384" width="9" style="1"/>
  </cols>
  <sheetData>
    <row r="1" spans="1:11" ht="18" x14ac:dyDescent="0.35">
      <c r="A1" s="2" t="s">
        <v>25</v>
      </c>
    </row>
    <row r="2" spans="1:11" x14ac:dyDescent="0.25">
      <c r="A2" s="2"/>
    </row>
    <row r="3" spans="1:11" ht="18" x14ac:dyDescent="0.35">
      <c r="A3" s="6" t="s">
        <v>20</v>
      </c>
      <c r="B3" s="6" t="s">
        <v>0</v>
      </c>
      <c r="C3" s="6" t="s">
        <v>1</v>
      </c>
      <c r="D3" s="6" t="s">
        <v>2</v>
      </c>
      <c r="E3" s="6" t="s">
        <v>33</v>
      </c>
    </row>
    <row r="4" spans="1:11" ht="18" customHeight="1" x14ac:dyDescent="0.25">
      <c r="A4" s="3" t="s">
        <v>26</v>
      </c>
      <c r="B4" s="3" t="s">
        <v>26</v>
      </c>
      <c r="C4" s="3" t="s">
        <v>17</v>
      </c>
      <c r="D4" s="4">
        <v>31068.584487898101</v>
      </c>
      <c r="E4" s="5">
        <f>D4/$D$9</f>
        <v>0.82849558639061904</v>
      </c>
    </row>
    <row r="5" spans="1:11" ht="18" x14ac:dyDescent="0.35">
      <c r="A5" s="3" t="s">
        <v>16</v>
      </c>
      <c r="B5" s="3" t="s">
        <v>16</v>
      </c>
      <c r="C5" s="3" t="s">
        <v>17</v>
      </c>
      <c r="D5" s="4">
        <v>17825.248463383101</v>
      </c>
      <c r="E5" s="5">
        <f>D5/$D$9</f>
        <v>0.47533995905032556</v>
      </c>
    </row>
    <row r="6" spans="1:11" x14ac:dyDescent="0.25">
      <c r="A6" s="3" t="s">
        <v>28</v>
      </c>
      <c r="B6" s="3" t="s">
        <v>26</v>
      </c>
      <c r="C6" s="3" t="s">
        <v>18</v>
      </c>
      <c r="D6" s="4">
        <v>41.886902014710003</v>
      </c>
      <c r="E6" s="5">
        <f>D6/$D$9</f>
        <v>1.1169840537885206E-3</v>
      </c>
    </row>
    <row r="7" spans="1:11" x14ac:dyDescent="0.25">
      <c r="A7" s="3" t="s">
        <v>28</v>
      </c>
      <c r="B7" s="3" t="s">
        <v>16</v>
      </c>
      <c r="C7" s="3" t="s">
        <v>18</v>
      </c>
      <c r="D7" s="4">
        <v>17.778817513888601</v>
      </c>
      <c r="E7" s="5">
        <f>D7/$D$9</f>
        <v>4.7410180039706915E-4</v>
      </c>
      <c r="F7" s="16"/>
    </row>
    <row r="8" spans="1:11" x14ac:dyDescent="0.25">
      <c r="A8" s="3" t="s">
        <v>28</v>
      </c>
      <c r="B8" s="3" t="s">
        <v>24</v>
      </c>
      <c r="C8" s="3" t="s">
        <v>18</v>
      </c>
      <c r="D8" s="4">
        <v>11334.164178204899</v>
      </c>
      <c r="E8" s="5">
        <f>D8/$D$9</f>
        <v>0.30224437810248961</v>
      </c>
    </row>
    <row r="9" spans="1:11" ht="18" x14ac:dyDescent="0.35">
      <c r="A9" s="3" t="s">
        <v>27</v>
      </c>
      <c r="B9" s="3" t="s">
        <v>27</v>
      </c>
      <c r="C9" s="3" t="s">
        <v>19</v>
      </c>
      <c r="D9" s="4">
        <v>37499.9999978876</v>
      </c>
      <c r="E9" s="5">
        <f>D9/$D$9</f>
        <v>1</v>
      </c>
      <c r="H9" s="15"/>
      <c r="I9" s="15"/>
      <c r="J9" s="15"/>
      <c r="K9" s="15"/>
    </row>
    <row r="10" spans="1:11" x14ac:dyDescent="0.25">
      <c r="H10" s="15"/>
      <c r="I10" s="15"/>
      <c r="J10" s="15"/>
      <c r="K10" s="15"/>
    </row>
    <row r="11" spans="1:11" x14ac:dyDescent="0.25">
      <c r="H11" s="15"/>
      <c r="I11" s="15"/>
      <c r="J11" s="15"/>
      <c r="K11" s="15"/>
    </row>
    <row r="12" spans="1:11" x14ac:dyDescent="0.25">
      <c r="H12" s="15"/>
      <c r="I12" s="15"/>
      <c r="J12" s="15"/>
      <c r="K12" s="15"/>
    </row>
    <row r="13" spans="1:11" x14ac:dyDescent="0.25">
      <c r="H13" s="15"/>
      <c r="I13" s="15"/>
      <c r="J13" s="15"/>
      <c r="K13" s="15"/>
    </row>
    <row r="14" spans="1:11" x14ac:dyDescent="0.25">
      <c r="H14" s="15"/>
      <c r="I14" s="15"/>
      <c r="J14" s="15"/>
      <c r="K14" s="15"/>
    </row>
    <row r="15" spans="1:11" x14ac:dyDescent="0.25">
      <c r="H15" s="15"/>
      <c r="I15" s="15"/>
      <c r="J15" s="15"/>
      <c r="K15" s="15"/>
    </row>
    <row r="16" spans="1:11" x14ac:dyDescent="0.25">
      <c r="H16" s="15"/>
      <c r="I16" s="15"/>
      <c r="J16" s="15"/>
      <c r="K16" s="15"/>
    </row>
    <row r="17" spans="8:11" x14ac:dyDescent="0.25">
      <c r="H17" s="15"/>
      <c r="I17" s="15"/>
      <c r="J17" s="15"/>
      <c r="K17" s="15"/>
    </row>
    <row r="18" spans="8:11" x14ac:dyDescent="0.25">
      <c r="H18" s="15"/>
      <c r="I18" s="15"/>
      <c r="J18" s="15"/>
      <c r="K18" s="15"/>
    </row>
    <row r="19" spans="8:11" x14ac:dyDescent="0.25">
      <c r="H19" s="15"/>
      <c r="I19" s="15"/>
      <c r="J19" s="15"/>
      <c r="K19" s="15"/>
    </row>
    <row r="20" spans="8:11" x14ac:dyDescent="0.25">
      <c r="H20" s="15"/>
      <c r="I20" s="15"/>
      <c r="J20" s="15"/>
      <c r="K20" s="15"/>
    </row>
    <row r="21" spans="8:11" x14ac:dyDescent="0.25">
      <c r="H21" s="15"/>
      <c r="I21" s="15"/>
      <c r="J21" s="15"/>
      <c r="K21" s="15"/>
    </row>
    <row r="22" spans="8:11" x14ac:dyDescent="0.25">
      <c r="H22" s="15"/>
      <c r="I22" s="15"/>
      <c r="J22" s="15"/>
      <c r="K22" s="15"/>
    </row>
    <row r="23" spans="8:11" x14ac:dyDescent="0.25">
      <c r="H23" s="15"/>
      <c r="I23" s="15"/>
      <c r="J23" s="15"/>
      <c r="K23" s="15"/>
    </row>
    <row r="24" spans="8:11" x14ac:dyDescent="0.25">
      <c r="H24" s="15"/>
      <c r="I24" s="15"/>
      <c r="J24" s="15"/>
      <c r="K24" s="15"/>
    </row>
    <row r="25" spans="8:11" x14ac:dyDescent="0.25">
      <c r="H25" s="15"/>
      <c r="I25" s="15"/>
      <c r="J25" s="15"/>
      <c r="K25" s="15"/>
    </row>
    <row r="26" spans="8:11" x14ac:dyDescent="0.25">
      <c r="H26" s="15"/>
      <c r="I26" s="15"/>
      <c r="J26" s="15"/>
      <c r="K26" s="15"/>
    </row>
    <row r="27" spans="8:11" x14ac:dyDescent="0.25">
      <c r="H27" s="15"/>
      <c r="I27" s="15"/>
      <c r="J27" s="15"/>
      <c r="K27" s="15"/>
    </row>
    <row r="28" spans="8:11" x14ac:dyDescent="0.25">
      <c r="H28" s="15"/>
      <c r="I28" s="15"/>
      <c r="J28" s="15"/>
      <c r="K28" s="15"/>
    </row>
    <row r="29" spans="8:11" x14ac:dyDescent="0.25">
      <c r="H29" s="15"/>
      <c r="I29" s="15"/>
      <c r="J29" s="15"/>
      <c r="K29" s="15"/>
    </row>
    <row r="30" spans="8:11" x14ac:dyDescent="0.25">
      <c r="H30" s="15"/>
      <c r="I30" s="15"/>
      <c r="J30" s="15"/>
      <c r="K30" s="15"/>
    </row>
    <row r="31" spans="8:11" x14ac:dyDescent="0.25">
      <c r="H31" s="15"/>
      <c r="I31" s="15"/>
      <c r="J31" s="15"/>
      <c r="K31" s="15"/>
    </row>
    <row r="32" spans="8:11" x14ac:dyDescent="0.25">
      <c r="H32" s="15"/>
      <c r="I32" s="15"/>
      <c r="J32" s="15"/>
      <c r="K32" s="15"/>
    </row>
    <row r="33" spans="8:11" x14ac:dyDescent="0.25">
      <c r="H33" s="15"/>
      <c r="I33" s="15"/>
      <c r="J33" s="15"/>
      <c r="K33" s="15"/>
    </row>
    <row r="34" spans="8:11" x14ac:dyDescent="0.25">
      <c r="H34" s="15"/>
      <c r="I34" s="15"/>
      <c r="J34" s="15"/>
      <c r="K34" s="15"/>
    </row>
    <row r="35" spans="8:11" x14ac:dyDescent="0.25">
      <c r="H35" s="15"/>
      <c r="I35" s="15"/>
      <c r="J35" s="15"/>
      <c r="K35" s="15"/>
    </row>
    <row r="36" spans="8:11" x14ac:dyDescent="0.25">
      <c r="H36" s="15"/>
      <c r="I36" s="15"/>
      <c r="J36" s="15"/>
      <c r="K36" s="15"/>
    </row>
    <row r="37" spans="8:11" x14ac:dyDescent="0.25">
      <c r="H37" s="15"/>
      <c r="I37" s="15"/>
      <c r="J37" s="15"/>
      <c r="K37" s="15"/>
    </row>
    <row r="38" spans="8:11" x14ac:dyDescent="0.25">
      <c r="H38" s="15"/>
      <c r="I38" s="15"/>
      <c r="J38" s="15"/>
      <c r="K38" s="15"/>
    </row>
    <row r="39" spans="8:11" x14ac:dyDescent="0.25">
      <c r="H39" s="15"/>
      <c r="I39" s="15"/>
      <c r="J39" s="15"/>
      <c r="K39" s="15"/>
    </row>
    <row r="40" spans="8:11" x14ac:dyDescent="0.25">
      <c r="H40" s="15"/>
      <c r="I40" s="15"/>
      <c r="J40" s="15"/>
      <c r="K40" s="15"/>
    </row>
    <row r="41" spans="8:11" x14ac:dyDescent="0.25">
      <c r="H41" s="15"/>
      <c r="I41" s="15"/>
      <c r="J41" s="15"/>
      <c r="K41" s="15"/>
    </row>
    <row r="42" spans="8:11" x14ac:dyDescent="0.25">
      <c r="H42" s="15"/>
      <c r="I42" s="15"/>
      <c r="J42" s="15"/>
      <c r="K42" s="15"/>
    </row>
    <row r="43" spans="8:11" x14ac:dyDescent="0.25">
      <c r="H43" s="15"/>
      <c r="I43" s="15"/>
      <c r="J43" s="15"/>
      <c r="K43" s="15"/>
    </row>
    <row r="44" spans="8:11" x14ac:dyDescent="0.25">
      <c r="H44" s="15"/>
      <c r="I44" s="15"/>
      <c r="J44" s="15"/>
      <c r="K44" s="15"/>
    </row>
    <row r="45" spans="8:11" x14ac:dyDescent="0.25">
      <c r="H45" s="15"/>
      <c r="I45" s="15"/>
      <c r="J45" s="15"/>
      <c r="K45" s="15"/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  <row r="49" spans="8:11" x14ac:dyDescent="0.25">
      <c r="H49" s="15"/>
      <c r="I49" s="15"/>
      <c r="J49" s="15"/>
      <c r="K49" s="15"/>
    </row>
    <row r="50" spans="8:11" x14ac:dyDescent="0.25">
      <c r="H50" s="15"/>
      <c r="I50" s="15"/>
      <c r="J50" s="15"/>
      <c r="K50" s="15"/>
    </row>
    <row r="51" spans="8:11" x14ac:dyDescent="0.25">
      <c r="H51" s="15"/>
      <c r="I51" s="15"/>
      <c r="J51" s="15"/>
      <c r="K51" s="15"/>
    </row>
    <row r="52" spans="8:11" x14ac:dyDescent="0.25">
      <c r="H52" s="15"/>
      <c r="I52" s="15"/>
      <c r="J52" s="15"/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  <row r="55" spans="8:11" x14ac:dyDescent="0.25">
      <c r="H55" s="15"/>
      <c r="I55" s="15"/>
      <c r="J55" s="15"/>
      <c r="K55" s="15"/>
    </row>
    <row r="56" spans="8:11" x14ac:dyDescent="0.25">
      <c r="H56" s="15"/>
      <c r="I56" s="15"/>
      <c r="J56" s="15"/>
      <c r="K56" s="15"/>
    </row>
    <row r="57" spans="8:11" x14ac:dyDescent="0.25">
      <c r="H57" s="15"/>
      <c r="I57" s="15"/>
      <c r="J57" s="15"/>
      <c r="K57" s="15"/>
    </row>
    <row r="58" spans="8:11" x14ac:dyDescent="0.25">
      <c r="H58" s="15"/>
      <c r="I58" s="15"/>
      <c r="J58" s="15"/>
      <c r="K58" s="15"/>
    </row>
    <row r="59" spans="8:11" x14ac:dyDescent="0.25">
      <c r="H59" s="15"/>
      <c r="I59" s="15"/>
      <c r="J59" s="15"/>
      <c r="K59" s="15"/>
    </row>
    <row r="60" spans="8:11" x14ac:dyDescent="0.25">
      <c r="H60" s="15"/>
      <c r="I60" s="15"/>
      <c r="J60" s="15"/>
      <c r="K60" s="15"/>
    </row>
    <row r="61" spans="8:11" x14ac:dyDescent="0.25">
      <c r="H61" s="15"/>
      <c r="I61" s="15"/>
      <c r="J61" s="15"/>
      <c r="K61" s="15"/>
    </row>
    <row r="62" spans="8:11" x14ac:dyDescent="0.25">
      <c r="H62" s="15"/>
      <c r="I62" s="15"/>
      <c r="J62" s="15"/>
      <c r="K62" s="15"/>
    </row>
    <row r="63" spans="8:11" x14ac:dyDescent="0.25">
      <c r="H63" s="15"/>
      <c r="I63" s="15"/>
      <c r="J63" s="15"/>
      <c r="K63" s="15"/>
    </row>
    <row r="64" spans="8:11" x14ac:dyDescent="0.25">
      <c r="H64" s="15"/>
      <c r="I64" s="15"/>
      <c r="J64" s="15"/>
      <c r="K64" s="15"/>
    </row>
    <row r="65" spans="8:11" x14ac:dyDescent="0.25">
      <c r="H65" s="15"/>
      <c r="I65" s="15"/>
      <c r="J65" s="15"/>
      <c r="K65" s="15"/>
    </row>
    <row r="66" spans="8:11" x14ac:dyDescent="0.25">
      <c r="H66" s="15"/>
      <c r="I66" s="15"/>
      <c r="J66" s="15"/>
      <c r="K66" s="15"/>
    </row>
    <row r="67" spans="8:11" x14ac:dyDescent="0.25">
      <c r="H67" s="15"/>
      <c r="I67" s="15"/>
      <c r="J67" s="15"/>
      <c r="K67" s="15"/>
    </row>
    <row r="68" spans="8:11" x14ac:dyDescent="0.25">
      <c r="H68" s="15"/>
      <c r="I68" s="15"/>
      <c r="J68" s="15"/>
      <c r="K68" s="15"/>
    </row>
    <row r="69" spans="8:11" x14ac:dyDescent="0.25">
      <c r="H69" s="15"/>
      <c r="I69" s="15"/>
      <c r="J69" s="15"/>
      <c r="K69" s="15"/>
    </row>
    <row r="70" spans="8:11" x14ac:dyDescent="0.25">
      <c r="H70" s="15"/>
      <c r="I70" s="15"/>
      <c r="J70" s="15"/>
      <c r="K70" s="15"/>
    </row>
    <row r="71" spans="8:11" x14ac:dyDescent="0.25">
      <c r="H71" s="15"/>
      <c r="I71" s="15"/>
      <c r="J71" s="15"/>
      <c r="K71" s="15"/>
    </row>
    <row r="72" spans="8:11" x14ac:dyDescent="0.25">
      <c r="H72" s="15"/>
      <c r="I72" s="15"/>
      <c r="J72" s="15"/>
      <c r="K72" s="15"/>
    </row>
    <row r="73" spans="8:11" x14ac:dyDescent="0.25">
      <c r="H73" s="15"/>
      <c r="I73" s="15"/>
      <c r="J73" s="15"/>
      <c r="K73" s="15"/>
    </row>
    <row r="74" spans="8:11" x14ac:dyDescent="0.25">
      <c r="H74" s="15"/>
      <c r="I74" s="15"/>
      <c r="J74" s="15"/>
      <c r="K74" s="15"/>
    </row>
    <row r="75" spans="8:11" x14ac:dyDescent="0.25">
      <c r="H75" s="15"/>
      <c r="I75" s="15"/>
      <c r="J75" s="15"/>
      <c r="K75" s="15"/>
    </row>
    <row r="76" spans="8:11" x14ac:dyDescent="0.25">
      <c r="H76" s="15"/>
      <c r="I76" s="15"/>
      <c r="J76" s="15"/>
      <c r="K76" s="15"/>
    </row>
    <row r="77" spans="8:11" x14ac:dyDescent="0.25">
      <c r="H77" s="15"/>
      <c r="I77" s="15"/>
      <c r="J77" s="15"/>
      <c r="K77" s="15"/>
    </row>
    <row r="78" spans="8:11" x14ac:dyDescent="0.25">
      <c r="H78" s="15"/>
      <c r="I78" s="15"/>
      <c r="J78" s="15"/>
      <c r="K78" s="15"/>
    </row>
    <row r="79" spans="8:11" x14ac:dyDescent="0.25">
      <c r="H79" s="15"/>
      <c r="I79" s="15"/>
      <c r="J79" s="15"/>
      <c r="K79" s="15"/>
    </row>
    <row r="80" spans="8:11" x14ac:dyDescent="0.25">
      <c r="H80" s="15"/>
      <c r="I80" s="15"/>
      <c r="J80" s="15"/>
      <c r="K80" s="15"/>
    </row>
    <row r="81" spans="8:11" x14ac:dyDescent="0.25">
      <c r="H81" s="15"/>
      <c r="I81" s="15"/>
      <c r="J81" s="15"/>
      <c r="K81" s="15"/>
    </row>
    <row r="82" spans="8:11" x14ac:dyDescent="0.25">
      <c r="H82" s="15"/>
      <c r="I82" s="15"/>
      <c r="J82" s="15"/>
      <c r="K82" s="15"/>
    </row>
    <row r="83" spans="8:11" x14ac:dyDescent="0.25">
      <c r="H83" s="15"/>
      <c r="I83" s="15"/>
      <c r="J83" s="15"/>
      <c r="K83" s="15"/>
    </row>
    <row r="84" spans="8:11" x14ac:dyDescent="0.25">
      <c r="H84" s="15"/>
      <c r="I84" s="15"/>
      <c r="J84" s="15"/>
      <c r="K84" s="15"/>
    </row>
    <row r="85" spans="8:11" x14ac:dyDescent="0.25">
      <c r="H85" s="15"/>
      <c r="I85" s="15"/>
      <c r="J85" s="15"/>
      <c r="K85" s="15"/>
    </row>
    <row r="86" spans="8:11" x14ac:dyDescent="0.25">
      <c r="H86" s="15"/>
      <c r="I86" s="15"/>
      <c r="J86" s="15"/>
      <c r="K86" s="15"/>
    </row>
    <row r="87" spans="8:11" x14ac:dyDescent="0.25">
      <c r="H87" s="15"/>
      <c r="I87" s="15"/>
      <c r="J87" s="15"/>
      <c r="K87" s="15"/>
    </row>
    <row r="88" spans="8:11" x14ac:dyDescent="0.25">
      <c r="H88" s="15"/>
      <c r="I88" s="15"/>
      <c r="J88" s="15"/>
      <c r="K88" s="15"/>
    </row>
    <row r="89" spans="8:11" x14ac:dyDescent="0.25">
      <c r="H89" s="15"/>
      <c r="I89" s="15"/>
      <c r="J89" s="15"/>
      <c r="K89" s="15"/>
    </row>
    <row r="90" spans="8:11" x14ac:dyDescent="0.25">
      <c r="H90" s="15"/>
      <c r="I90" s="15"/>
      <c r="J90" s="15"/>
      <c r="K90" s="15"/>
    </row>
    <row r="91" spans="8:11" x14ac:dyDescent="0.25">
      <c r="H91" s="15"/>
      <c r="I91" s="15"/>
      <c r="J91" s="15"/>
      <c r="K91" s="15"/>
    </row>
    <row r="92" spans="8:11" x14ac:dyDescent="0.25">
      <c r="H92" s="15"/>
      <c r="I92" s="15"/>
      <c r="J92" s="15"/>
      <c r="K92" s="15"/>
    </row>
    <row r="93" spans="8:11" x14ac:dyDescent="0.25">
      <c r="H93" s="15"/>
      <c r="I93" s="15"/>
      <c r="J93" s="15"/>
      <c r="K93" s="15"/>
    </row>
    <row r="94" spans="8:11" x14ac:dyDescent="0.25">
      <c r="H94" s="15"/>
      <c r="I94" s="15"/>
      <c r="J94" s="15"/>
      <c r="K94" s="15"/>
    </row>
    <row r="95" spans="8:11" x14ac:dyDescent="0.25">
      <c r="H95" s="15"/>
      <c r="I95" s="15"/>
      <c r="J95" s="15"/>
      <c r="K95" s="15"/>
    </row>
    <row r="96" spans="8:11" x14ac:dyDescent="0.25">
      <c r="H96" s="15"/>
      <c r="I96" s="15"/>
      <c r="J96" s="15"/>
      <c r="K96" s="15"/>
    </row>
    <row r="97" spans="8:11" x14ac:dyDescent="0.25">
      <c r="H97" s="15"/>
      <c r="I97" s="15"/>
      <c r="J97" s="15"/>
      <c r="K97" s="15"/>
    </row>
    <row r="98" spans="8:11" x14ac:dyDescent="0.25">
      <c r="H98" s="15"/>
      <c r="I98" s="15"/>
      <c r="J98" s="15"/>
      <c r="K98" s="15"/>
    </row>
    <row r="99" spans="8:11" x14ac:dyDescent="0.25">
      <c r="H99" s="15"/>
      <c r="I99" s="15"/>
      <c r="J99" s="15"/>
      <c r="K99" s="15"/>
    </row>
    <row r="100" spans="8:11" x14ac:dyDescent="0.25">
      <c r="H100" s="15"/>
      <c r="I100" s="15"/>
      <c r="J100" s="15"/>
      <c r="K100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zoomScale="160" zoomScaleNormal="160" workbookViewId="0">
      <selection activeCell="D3" sqref="D3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</cols>
  <sheetData>
    <row r="2" spans="1:4" ht="18" x14ac:dyDescent="0.35">
      <c r="A2" s="6" t="s">
        <v>4</v>
      </c>
      <c r="B2" s="6" t="s">
        <v>1</v>
      </c>
      <c r="C2" s="6" t="s">
        <v>3</v>
      </c>
      <c r="D2" s="6" t="s">
        <v>32</v>
      </c>
    </row>
    <row r="3" spans="1:4" x14ac:dyDescent="0.25">
      <c r="A3" s="3" t="s">
        <v>6</v>
      </c>
      <c r="B3" s="3" t="s">
        <v>5</v>
      </c>
      <c r="C3" s="4">
        <v>0</v>
      </c>
      <c r="D3" s="5">
        <f>C3/'Material streams'!$D$9</f>
        <v>0</v>
      </c>
    </row>
    <row r="4" spans="1:4" x14ac:dyDescent="0.25">
      <c r="A4" s="3" t="s">
        <v>23</v>
      </c>
      <c r="B4" s="3" t="s">
        <v>5</v>
      </c>
      <c r="C4" s="4">
        <v>0</v>
      </c>
      <c r="D4" s="5">
        <f>C4/'Material streams'!$D$9</f>
        <v>0</v>
      </c>
    </row>
    <row r="5" spans="1:4" ht="14.25" customHeight="1" x14ac:dyDescent="0.25">
      <c r="A5" s="3"/>
      <c r="B5" s="12" t="s">
        <v>7</v>
      </c>
      <c r="C5" s="13">
        <f>SUM(C3:C4)</f>
        <v>0</v>
      </c>
      <c r="D5" s="14">
        <f>SUM(D3:D4)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="145" zoomScaleNormal="145" workbookViewId="0">
      <selection activeCell="B4" sqref="B4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11.14062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20" t="s">
        <v>8</v>
      </c>
      <c r="B1" s="20" t="s">
        <v>9</v>
      </c>
      <c r="C1" s="20" t="s">
        <v>22</v>
      </c>
      <c r="D1" s="8" t="s">
        <v>31</v>
      </c>
    </row>
    <row r="2" spans="1:8" x14ac:dyDescent="0.25">
      <c r="A2" s="18" t="s">
        <v>15</v>
      </c>
      <c r="B2" s="18">
        <v>36714540.2111568</v>
      </c>
      <c r="C2" s="18">
        <f>B2/B9/E9</f>
        <v>1755416.6966845233</v>
      </c>
      <c r="D2" s="22">
        <f>C2/'Material streams'!$D$9</f>
        <v>46.811111914224185</v>
      </c>
    </row>
    <row r="3" spans="1:8" x14ac:dyDescent="0.25">
      <c r="A3" s="18" t="s">
        <v>29</v>
      </c>
      <c r="B3" s="19">
        <v>0</v>
      </c>
      <c r="C3" s="18">
        <f>B3/B10/E10</f>
        <v>0</v>
      </c>
      <c r="D3" s="22">
        <f>C3/'Material streams'!$D$9</f>
        <v>0</v>
      </c>
      <c r="H3" s="10"/>
    </row>
    <row r="4" spans="1:8" x14ac:dyDescent="0.25">
      <c r="A4" s="18" t="s">
        <v>30</v>
      </c>
      <c r="B4" s="19">
        <v>479384277.30620003</v>
      </c>
      <c r="C4" s="18">
        <f>B4/B11/E11</f>
        <v>10178.010133889597</v>
      </c>
      <c r="D4" s="22">
        <f>C4/'Material streams'!$D$9</f>
        <v>0.27141360358567812</v>
      </c>
      <c r="E4" s="17"/>
    </row>
    <row r="7" spans="1:8" x14ac:dyDescent="0.25">
      <c r="A7" s="7" t="s">
        <v>21</v>
      </c>
    </row>
    <row r="8" spans="1:8" ht="18" x14ac:dyDescent="0.35">
      <c r="A8" s="6" t="s">
        <v>8</v>
      </c>
      <c r="B8" s="6" t="s">
        <v>10</v>
      </c>
      <c r="C8" s="9" t="s">
        <v>12</v>
      </c>
      <c r="D8" s="9" t="s">
        <v>13</v>
      </c>
      <c r="E8" s="9" t="s">
        <v>11</v>
      </c>
    </row>
    <row r="9" spans="1:8" x14ac:dyDescent="0.25">
      <c r="A9" s="3" t="s">
        <v>15</v>
      </c>
      <c r="B9" s="3">
        <v>4.1829999999999998</v>
      </c>
      <c r="C9" s="3">
        <v>15</v>
      </c>
      <c r="D9" s="3">
        <v>20</v>
      </c>
      <c r="E9" s="3">
        <f>D9-C9</f>
        <v>5</v>
      </c>
    </row>
    <row r="10" spans="1:8" x14ac:dyDescent="0.25">
      <c r="A10" s="3" t="s">
        <v>29</v>
      </c>
      <c r="B10" s="21">
        <v>1.341</v>
      </c>
      <c r="C10" s="3">
        <v>-75</v>
      </c>
      <c r="D10" s="3">
        <v>-74</v>
      </c>
      <c r="E10" s="3">
        <f>D10-C10</f>
        <v>1</v>
      </c>
    </row>
    <row r="11" spans="1:8" x14ac:dyDescent="0.25">
      <c r="A11" s="3" t="s">
        <v>30</v>
      </c>
      <c r="B11" s="4">
        <v>47100</v>
      </c>
      <c r="C11" s="3">
        <v>1247</v>
      </c>
      <c r="D11" s="3">
        <v>1246</v>
      </c>
      <c r="E11" s="3">
        <f>C11-D11</f>
        <v>1</v>
      </c>
    </row>
    <row r="12" spans="1:8" x14ac:dyDescent="0.25">
      <c r="E12" s="11"/>
    </row>
    <row r="13" spans="1:8" x14ac:dyDescent="0.25">
      <c r="A13" t="s">
        <v>14</v>
      </c>
      <c r="E13" s="11"/>
    </row>
    <row r="14" spans="1:8" x14ac:dyDescent="0.25">
      <c r="E14" s="11"/>
    </row>
    <row r="15" spans="1:8" x14ac:dyDescent="0.25">
      <c r="D15" s="11"/>
      <c r="E15" s="11"/>
    </row>
    <row r="16" spans="1:8" x14ac:dyDescent="0.25">
      <c r="E16" s="11"/>
    </row>
    <row r="17" spans="4:5" x14ac:dyDescent="0.25">
      <c r="D17" s="11"/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E21" s="11"/>
    </row>
    <row r="22" spans="4:5" x14ac:dyDescent="0.25">
      <c r="D22" s="11"/>
      <c r="E2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2025-05-29T19:57:03Z</dcterms:modified>
</cp:coreProperties>
</file>