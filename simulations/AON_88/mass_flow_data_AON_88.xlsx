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88\"/>
    </mc:Choice>
  </mc:AlternateContent>
  <xr:revisionPtr revIDLastSave="0" documentId="13_ncr:1_{8F1CA7A6-2718-44F8-A36A-313F8B12E47F}" xr6:coauthVersionLast="36" xr6:coauthVersionMax="36" xr10:uidLastSave="{00000000-0000-0000-0000-000000000000}"/>
  <bookViews>
    <workbookView xWindow="0" yWindow="0" windowWidth="19200" windowHeight="6585" xr2:uid="{00000000-000D-0000-FFFF-FFFF00000000}"/>
  </bookViews>
  <sheets>
    <sheet name="Material streams" sheetId="1" r:id="rId1"/>
    <sheet name="Electricity" sheetId="2" r:id="rId2"/>
    <sheet name="Utiliti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2" i="3" l="1"/>
  <c r="E11" i="1" l="1"/>
  <c r="E10" i="1"/>
  <c r="D3" i="2" l="1"/>
  <c r="C5" i="2" l="1"/>
  <c r="E9" i="1" l="1"/>
  <c r="E8" i="1" l="1"/>
  <c r="D4" i="2" l="1"/>
  <c r="E7" i="1"/>
  <c r="F7" i="1" s="1"/>
  <c r="D5" i="2" l="1"/>
  <c r="E6" i="1"/>
  <c r="E5" i="1"/>
  <c r="E4" i="1"/>
  <c r="E12" i="1"/>
  <c r="E9" i="3" l="1"/>
  <c r="C3" i="3" s="1"/>
  <c r="D3" i="3" s="1"/>
  <c r="E8" i="3"/>
  <c r="C2" i="3" s="1"/>
  <c r="D2" i="3" s="1"/>
</calcChain>
</file>

<file path=xl/sharedStrings.xml><?xml version="1.0" encoding="utf-8"?>
<sst xmlns="http://schemas.openxmlformats.org/spreadsheetml/2006/main" count="57" uniqueCount="37">
  <si>
    <t>Component</t>
  </si>
  <si>
    <t>Type</t>
  </si>
  <si>
    <t>Mass flow (kg/hr)</t>
  </si>
  <si>
    <t>Water</t>
  </si>
  <si>
    <t>Ammonia</t>
  </si>
  <si>
    <t>kWh</t>
  </si>
  <si>
    <t>Block</t>
  </si>
  <si>
    <t>Compressor</t>
  </si>
  <si>
    <t>K-100</t>
  </si>
  <si>
    <t>Total</t>
  </si>
  <si>
    <t>Utility</t>
  </si>
  <si>
    <t>Load (kJ/h)</t>
  </si>
  <si>
    <t>Effective Cp (kJ/kg C)</t>
  </si>
  <si>
    <t>ΔT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</si>
  <si>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in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</si>
  <si>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out</t>
    </r>
  </si>
  <si>
    <t xml:space="preserve"> </t>
  </si>
  <si>
    <t>Cooling water</t>
  </si>
  <si>
    <r>
      <t>Final product: N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</si>
  <si>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r>
      <t>Mass/kg N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</si>
  <si>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</si>
  <si>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</si>
  <si>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t>Nitrous oxide</t>
  </si>
  <si>
    <t>Feed</t>
  </si>
  <si>
    <t>Emissions</t>
  </si>
  <si>
    <t>Product</t>
  </si>
  <si>
    <t>Stream name</t>
  </si>
  <si>
    <t>Data used for calculating the mass flow rate taken from Aspen energy analyzer</t>
  </si>
  <si>
    <t>Flow rate (kg/h)</t>
  </si>
  <si>
    <r>
      <t>kWh/kg N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</si>
  <si>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r>
      <t>Flow/kg N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</si>
  <si>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t>Purge gas</t>
  </si>
  <si>
    <t>Nitrogen monoxide</t>
  </si>
  <si>
    <t>K-101</t>
  </si>
  <si>
    <t>Nitrogen</t>
  </si>
  <si>
    <t>Oxygen</t>
  </si>
  <si>
    <t>Refrigeration to -150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</si>
</sst>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2" fontId="0" fillId="0" borderId="0" xfId="0" applyNumberFormat="1"/>
    <xf numFmtId="11" fontId="0" fillId="0" borderId="0" xfId="0" applyNumberFormat="1"/>
    <xf numFmtId="0" fontId="1" fillId="0" borderId="3" xfId="0" applyFon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5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2" fontId="0" fillId="0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"/>
  <sheetViews>
    <sheetView tabSelected="1" zoomScale="115" zoomScaleNormal="115" workbookViewId="0">
      <selection activeCell="H14" sqref="H14"/>
    </sheetView>
  </sheetViews>
  <sheetFormatPr defaultColWidth="9" defaultRowHeight="15" x14ac:dyDescent="0.25"/>
  <cols>
    <col min="1" max="1" width="16.42578125" style="1" bestFit="1" customWidth="1"/>
    <col min="2" max="2" width="18.5703125" style="1" bestFit="1" customWidth="1"/>
    <col min="3" max="3" width="11.140625" style="1" bestFit="1" customWidth="1"/>
    <col min="4" max="4" width="16" style="1" bestFit="1" customWidth="1"/>
    <col min="5" max="5" width="12" style="1" bestFit="1" customWidth="1"/>
    <col min="6" max="16384" width="9" style="1"/>
  </cols>
  <sheetData>
    <row r="1" spans="1:11" ht="18" x14ac:dyDescent="0.35">
      <c r="A1" s="2" t="s">
        <v>18</v>
      </c>
    </row>
    <row r="2" spans="1:11" x14ac:dyDescent="0.25">
      <c r="A2" s="2"/>
    </row>
    <row r="3" spans="1:11" ht="18" x14ac:dyDescent="0.35">
      <c r="A3" s="6" t="s">
        <v>26</v>
      </c>
      <c r="B3" s="6" t="s">
        <v>0</v>
      </c>
      <c r="C3" s="6" t="s">
        <v>1</v>
      </c>
      <c r="D3" s="6" t="s">
        <v>2</v>
      </c>
      <c r="E3" s="6" t="s">
        <v>19</v>
      </c>
    </row>
    <row r="4" spans="1:11" ht="18" customHeight="1" x14ac:dyDescent="0.25">
      <c r="A4" s="3" t="s">
        <v>35</v>
      </c>
      <c r="B4" s="3" t="s">
        <v>35</v>
      </c>
      <c r="C4" s="3" t="s">
        <v>23</v>
      </c>
      <c r="D4" s="4">
        <v>64797.713610614599</v>
      </c>
      <c r="E4" s="5">
        <f t="shared" ref="E4:E12" si="0">D4/$D$12</f>
        <v>1.7279385507269518</v>
      </c>
    </row>
    <row r="5" spans="1:11" ht="18" x14ac:dyDescent="0.35">
      <c r="A5" s="3" t="s">
        <v>21</v>
      </c>
      <c r="B5" s="3" t="s">
        <v>4</v>
      </c>
      <c r="C5" s="3" t="s">
        <v>23</v>
      </c>
      <c r="D5" s="4">
        <v>34486.883999999998</v>
      </c>
      <c r="E5" s="5">
        <f t="shared" si="0"/>
        <v>0.91964998512365381</v>
      </c>
    </row>
    <row r="6" spans="1:11" x14ac:dyDescent="0.25">
      <c r="A6" s="3" t="s">
        <v>3</v>
      </c>
      <c r="B6" s="3" t="s">
        <v>3</v>
      </c>
      <c r="C6" s="3" t="s">
        <v>23</v>
      </c>
      <c r="D6" s="4">
        <v>0</v>
      </c>
      <c r="E6" s="5">
        <f t="shared" si="0"/>
        <v>0</v>
      </c>
    </row>
    <row r="7" spans="1:11" x14ac:dyDescent="0.25">
      <c r="A7" s="3" t="s">
        <v>3</v>
      </c>
      <c r="B7" s="3" t="s">
        <v>3</v>
      </c>
      <c r="C7" s="3" t="s">
        <v>24</v>
      </c>
      <c r="D7" s="4">
        <v>56757.646892340301</v>
      </c>
      <c r="E7" s="5">
        <f t="shared" si="0"/>
        <v>1.5135368309933237</v>
      </c>
      <c r="F7" s="18">
        <f>E7/1000</f>
        <v>1.5135368309933236E-3</v>
      </c>
    </row>
    <row r="8" spans="1:11" x14ac:dyDescent="0.25">
      <c r="A8" s="3" t="s">
        <v>31</v>
      </c>
      <c r="B8" s="3" t="s">
        <v>34</v>
      </c>
      <c r="C8" s="3" t="s">
        <v>24</v>
      </c>
      <c r="D8" s="4">
        <v>2940.7991364029099</v>
      </c>
      <c r="E8" s="5">
        <f t="shared" si="0"/>
        <v>7.842128857001375E-2</v>
      </c>
    </row>
    <row r="9" spans="1:11" x14ac:dyDescent="0.25">
      <c r="A9" s="3" t="s">
        <v>31</v>
      </c>
      <c r="B9" s="3" t="s">
        <v>32</v>
      </c>
      <c r="C9" s="3" t="s">
        <v>24</v>
      </c>
      <c r="D9" s="20">
        <v>545.857261246544</v>
      </c>
      <c r="E9" s="5">
        <f t="shared" si="0"/>
        <v>1.4556189599066783E-2</v>
      </c>
      <c r="H9" s="17"/>
      <c r="I9" s="17"/>
      <c r="J9" s="17"/>
      <c r="K9" s="17"/>
    </row>
    <row r="10" spans="1:11" x14ac:dyDescent="0.25">
      <c r="A10" s="3" t="s">
        <v>31</v>
      </c>
      <c r="B10" s="3" t="s">
        <v>22</v>
      </c>
      <c r="C10" s="3" t="s">
        <v>24</v>
      </c>
      <c r="D10" s="20">
        <v>7.5085309333774104</v>
      </c>
      <c r="E10" s="5">
        <f t="shared" si="0"/>
        <v>2.0022743606470884E-4</v>
      </c>
      <c r="H10" s="17"/>
      <c r="I10" s="17"/>
      <c r="J10" s="17"/>
      <c r="K10" s="17"/>
    </row>
    <row r="11" spans="1:11" x14ac:dyDescent="0.25">
      <c r="A11" s="3" t="s">
        <v>31</v>
      </c>
      <c r="B11" s="3" t="s">
        <v>35</v>
      </c>
      <c r="C11" s="3" t="s">
        <v>24</v>
      </c>
      <c r="D11" s="20">
        <v>1532.85182990879</v>
      </c>
      <c r="E11" s="5">
        <f t="shared" si="0"/>
        <v>4.0876037468980504E-2</v>
      </c>
      <c r="H11" s="17"/>
      <c r="I11" s="17"/>
      <c r="J11" s="17"/>
      <c r="K11" s="17"/>
    </row>
    <row r="12" spans="1:11" ht="18" x14ac:dyDescent="0.35">
      <c r="A12" s="3" t="s">
        <v>20</v>
      </c>
      <c r="B12" s="3" t="s">
        <v>22</v>
      </c>
      <c r="C12" s="3" t="s">
        <v>25</v>
      </c>
      <c r="D12" s="4">
        <v>37500.010392935503</v>
      </c>
      <c r="E12" s="5">
        <f t="shared" si="0"/>
        <v>1</v>
      </c>
      <c r="H12" s="17"/>
      <c r="I12" s="17"/>
      <c r="J12" s="17"/>
      <c r="K12" s="17"/>
    </row>
    <row r="13" spans="1:11" x14ac:dyDescent="0.25">
      <c r="H13" s="17"/>
      <c r="I13" s="17"/>
      <c r="J13" s="17"/>
      <c r="K13" s="17"/>
    </row>
    <row r="14" spans="1:11" x14ac:dyDescent="0.25">
      <c r="H14" s="17"/>
      <c r="I14" s="17"/>
      <c r="J14" s="17"/>
      <c r="K14" s="17"/>
    </row>
    <row r="15" spans="1:11" x14ac:dyDescent="0.25">
      <c r="H15" s="17"/>
      <c r="I15" s="17"/>
      <c r="J15" s="17"/>
      <c r="K15" s="17"/>
    </row>
    <row r="16" spans="1:11" x14ac:dyDescent="0.25">
      <c r="H16" s="17"/>
      <c r="I16" s="17"/>
      <c r="J16" s="17"/>
      <c r="K16" s="17"/>
    </row>
    <row r="17" spans="8:11" x14ac:dyDescent="0.25">
      <c r="H17" s="17"/>
      <c r="I17" s="17"/>
      <c r="J17" s="17"/>
      <c r="K17" s="17"/>
    </row>
    <row r="18" spans="8:11" x14ac:dyDescent="0.25">
      <c r="H18" s="17"/>
      <c r="I18" s="17"/>
      <c r="J18" s="17"/>
      <c r="K18" s="17"/>
    </row>
    <row r="19" spans="8:11" x14ac:dyDescent="0.25">
      <c r="H19" s="17"/>
      <c r="I19" s="17"/>
      <c r="J19" s="17"/>
      <c r="K19" s="17"/>
    </row>
    <row r="20" spans="8:11" x14ac:dyDescent="0.25">
      <c r="H20" s="17"/>
      <c r="I20" s="17"/>
      <c r="J20" s="17"/>
      <c r="K20" s="17"/>
    </row>
    <row r="21" spans="8:11" x14ac:dyDescent="0.25">
      <c r="H21" s="17"/>
      <c r="I21" s="17"/>
      <c r="J21" s="17"/>
      <c r="K21" s="17"/>
    </row>
    <row r="22" spans="8:11" x14ac:dyDescent="0.25">
      <c r="H22" s="17"/>
      <c r="I22" s="17"/>
      <c r="J22" s="17"/>
      <c r="K22" s="17"/>
    </row>
    <row r="23" spans="8:11" x14ac:dyDescent="0.25">
      <c r="H23" s="17"/>
      <c r="I23" s="17"/>
      <c r="J23" s="17"/>
      <c r="K23" s="17"/>
    </row>
    <row r="24" spans="8:11" x14ac:dyDescent="0.25">
      <c r="H24" s="17"/>
      <c r="I24" s="17"/>
      <c r="J24" s="17"/>
      <c r="K24" s="17"/>
    </row>
    <row r="25" spans="8:11" x14ac:dyDescent="0.25">
      <c r="H25" s="17"/>
      <c r="I25" s="17"/>
      <c r="J25" s="17"/>
      <c r="K25" s="17"/>
    </row>
    <row r="26" spans="8:11" x14ac:dyDescent="0.25">
      <c r="H26" s="17"/>
      <c r="I26" s="17"/>
      <c r="J26" s="17"/>
      <c r="K26" s="17"/>
    </row>
    <row r="27" spans="8:11" x14ac:dyDescent="0.25">
      <c r="H27" s="17"/>
      <c r="I27" s="17"/>
      <c r="J27" s="17"/>
      <c r="K27" s="17"/>
    </row>
    <row r="28" spans="8:11" x14ac:dyDescent="0.25">
      <c r="H28" s="17"/>
      <c r="I28" s="17"/>
      <c r="J28" s="17"/>
      <c r="K28" s="17"/>
    </row>
    <row r="29" spans="8:11" x14ac:dyDescent="0.25">
      <c r="H29" s="17"/>
      <c r="I29" s="17"/>
      <c r="J29" s="17"/>
      <c r="K29" s="17"/>
    </row>
    <row r="30" spans="8:11" x14ac:dyDescent="0.25">
      <c r="H30" s="17"/>
      <c r="I30" s="17"/>
      <c r="J30" s="17"/>
      <c r="K30" s="17"/>
    </row>
    <row r="31" spans="8:11" x14ac:dyDescent="0.25">
      <c r="H31" s="17"/>
      <c r="I31" s="17"/>
      <c r="J31" s="17"/>
      <c r="K31" s="17"/>
    </row>
    <row r="32" spans="8:11" x14ac:dyDescent="0.25">
      <c r="H32" s="17"/>
      <c r="I32" s="17"/>
      <c r="J32" s="17"/>
      <c r="K32" s="17"/>
    </row>
    <row r="33" spans="8:11" x14ac:dyDescent="0.25">
      <c r="H33" s="17"/>
      <c r="I33" s="17"/>
      <c r="J33" s="17"/>
      <c r="K33" s="17"/>
    </row>
    <row r="34" spans="8:11" x14ac:dyDescent="0.25">
      <c r="H34" s="17"/>
      <c r="I34" s="17"/>
      <c r="J34" s="17"/>
      <c r="K34" s="17"/>
    </row>
    <row r="35" spans="8:11" x14ac:dyDescent="0.25">
      <c r="H35" s="17"/>
      <c r="I35" s="17"/>
      <c r="J35" s="17"/>
      <c r="K35" s="17"/>
    </row>
    <row r="36" spans="8:11" x14ac:dyDescent="0.25">
      <c r="H36" s="17"/>
      <c r="I36" s="17"/>
      <c r="J36" s="17"/>
      <c r="K36" s="17"/>
    </row>
    <row r="37" spans="8:11" x14ac:dyDescent="0.25">
      <c r="H37" s="17"/>
      <c r="I37" s="17"/>
      <c r="J37" s="17"/>
      <c r="K37" s="17"/>
    </row>
    <row r="38" spans="8:11" x14ac:dyDescent="0.25">
      <c r="H38" s="17"/>
      <c r="I38" s="17"/>
      <c r="J38" s="17"/>
      <c r="K38" s="17"/>
    </row>
    <row r="39" spans="8:11" x14ac:dyDescent="0.25">
      <c r="H39" s="17"/>
      <c r="I39" s="17"/>
      <c r="J39" s="17"/>
      <c r="K39" s="17"/>
    </row>
    <row r="40" spans="8:11" x14ac:dyDescent="0.25">
      <c r="H40" s="17"/>
      <c r="I40" s="17"/>
      <c r="J40" s="17"/>
      <c r="K40" s="17"/>
    </row>
    <row r="41" spans="8:11" x14ac:dyDescent="0.25">
      <c r="H41" s="17"/>
      <c r="I41" s="17"/>
      <c r="J41" s="17"/>
      <c r="K41" s="17"/>
    </row>
    <row r="42" spans="8:11" x14ac:dyDescent="0.25">
      <c r="H42" s="17"/>
      <c r="I42" s="17"/>
      <c r="J42" s="17"/>
      <c r="K42" s="17"/>
    </row>
    <row r="43" spans="8:11" x14ac:dyDescent="0.25">
      <c r="H43" s="17"/>
      <c r="I43" s="17"/>
      <c r="J43" s="17"/>
      <c r="K43" s="17"/>
    </row>
    <row r="44" spans="8:11" x14ac:dyDescent="0.25">
      <c r="H44" s="17"/>
      <c r="I44" s="17"/>
      <c r="J44" s="17"/>
      <c r="K44" s="17"/>
    </row>
    <row r="45" spans="8:11" x14ac:dyDescent="0.25">
      <c r="H45" s="17"/>
      <c r="I45" s="17"/>
      <c r="J45" s="17"/>
      <c r="K45" s="17"/>
    </row>
    <row r="46" spans="8:11" x14ac:dyDescent="0.25">
      <c r="H46" s="17"/>
      <c r="I46" s="17"/>
      <c r="J46" s="17"/>
      <c r="K46" s="17"/>
    </row>
    <row r="47" spans="8:11" x14ac:dyDescent="0.25">
      <c r="H47" s="17"/>
      <c r="I47" s="17"/>
      <c r="J47" s="17"/>
      <c r="K47" s="17"/>
    </row>
    <row r="48" spans="8:11" x14ac:dyDescent="0.25">
      <c r="H48" s="17"/>
      <c r="I48" s="17"/>
      <c r="J48" s="17"/>
      <c r="K48" s="17"/>
    </row>
    <row r="49" spans="8:11" x14ac:dyDescent="0.25">
      <c r="H49" s="17"/>
      <c r="I49" s="17"/>
      <c r="J49" s="17"/>
      <c r="K49" s="17"/>
    </row>
    <row r="50" spans="8:11" x14ac:dyDescent="0.25">
      <c r="H50" s="17"/>
      <c r="I50" s="17"/>
      <c r="J50" s="17"/>
      <c r="K50" s="17"/>
    </row>
    <row r="51" spans="8:11" x14ac:dyDescent="0.25">
      <c r="H51" s="17"/>
      <c r="I51" s="17"/>
      <c r="J51" s="17"/>
      <c r="K51" s="17"/>
    </row>
    <row r="52" spans="8:11" x14ac:dyDescent="0.25">
      <c r="H52" s="17"/>
      <c r="I52" s="17"/>
      <c r="J52" s="17"/>
      <c r="K52" s="17"/>
    </row>
    <row r="53" spans="8:11" x14ac:dyDescent="0.25">
      <c r="H53" s="17"/>
      <c r="I53" s="17"/>
      <c r="J53" s="17"/>
      <c r="K53" s="17"/>
    </row>
    <row r="54" spans="8:11" x14ac:dyDescent="0.25">
      <c r="H54" s="17"/>
      <c r="I54" s="17"/>
      <c r="J54" s="17"/>
      <c r="K54" s="17"/>
    </row>
    <row r="55" spans="8:11" x14ac:dyDescent="0.25">
      <c r="H55" s="17"/>
      <c r="I55" s="17"/>
      <c r="J55" s="17"/>
      <c r="K55" s="17"/>
    </row>
    <row r="56" spans="8:11" x14ac:dyDescent="0.25">
      <c r="H56" s="17"/>
      <c r="I56" s="17"/>
      <c r="J56" s="17"/>
      <c r="K56" s="17"/>
    </row>
    <row r="57" spans="8:11" x14ac:dyDescent="0.25">
      <c r="H57" s="17"/>
      <c r="I57" s="17"/>
      <c r="J57" s="17"/>
      <c r="K57" s="17"/>
    </row>
    <row r="58" spans="8:11" x14ac:dyDescent="0.25">
      <c r="H58" s="17"/>
      <c r="I58" s="17"/>
      <c r="J58" s="17"/>
      <c r="K58" s="17"/>
    </row>
    <row r="59" spans="8:11" x14ac:dyDescent="0.25">
      <c r="H59" s="17"/>
      <c r="I59" s="17"/>
      <c r="J59" s="17"/>
      <c r="K59" s="17"/>
    </row>
    <row r="60" spans="8:11" x14ac:dyDescent="0.25">
      <c r="H60" s="17"/>
      <c r="I60" s="17"/>
      <c r="J60" s="17"/>
      <c r="K60" s="17"/>
    </row>
    <row r="61" spans="8:11" x14ac:dyDescent="0.25">
      <c r="H61" s="17"/>
      <c r="I61" s="17"/>
      <c r="J61" s="17"/>
      <c r="K61" s="17"/>
    </row>
    <row r="62" spans="8:11" x14ac:dyDescent="0.25">
      <c r="H62" s="17"/>
      <c r="I62" s="17"/>
      <c r="J62" s="17"/>
      <c r="K62" s="17"/>
    </row>
    <row r="63" spans="8:11" x14ac:dyDescent="0.25">
      <c r="H63" s="17"/>
      <c r="I63" s="17"/>
      <c r="J63" s="17"/>
      <c r="K63" s="17"/>
    </row>
    <row r="64" spans="8:11" x14ac:dyDescent="0.25">
      <c r="H64" s="17"/>
      <c r="I64" s="17"/>
      <c r="J64" s="17"/>
      <c r="K64" s="17"/>
    </row>
    <row r="65" spans="8:11" x14ac:dyDescent="0.25">
      <c r="H65" s="17"/>
      <c r="I65" s="17"/>
      <c r="J65" s="17"/>
      <c r="K65" s="17"/>
    </row>
    <row r="66" spans="8:11" x14ac:dyDescent="0.25">
      <c r="H66" s="17"/>
      <c r="I66" s="17"/>
      <c r="J66" s="17"/>
      <c r="K66" s="17"/>
    </row>
    <row r="67" spans="8:11" x14ac:dyDescent="0.25">
      <c r="H67" s="17"/>
      <c r="I67" s="17"/>
      <c r="J67" s="17"/>
      <c r="K67" s="17"/>
    </row>
    <row r="68" spans="8:11" x14ac:dyDescent="0.25">
      <c r="H68" s="17"/>
      <c r="I68" s="17"/>
      <c r="J68" s="17"/>
      <c r="K68" s="17"/>
    </row>
    <row r="69" spans="8:11" x14ac:dyDescent="0.25">
      <c r="H69" s="17"/>
      <c r="I69" s="17"/>
      <c r="J69" s="17"/>
      <c r="K69" s="17"/>
    </row>
    <row r="70" spans="8:11" x14ac:dyDescent="0.25">
      <c r="H70" s="17"/>
      <c r="I70" s="17"/>
      <c r="J70" s="17"/>
      <c r="K70" s="17"/>
    </row>
    <row r="71" spans="8:11" x14ac:dyDescent="0.25">
      <c r="H71" s="17"/>
      <c r="I71" s="17"/>
      <c r="J71" s="17"/>
      <c r="K71" s="17"/>
    </row>
    <row r="72" spans="8:11" x14ac:dyDescent="0.25">
      <c r="H72" s="17"/>
      <c r="I72" s="17"/>
      <c r="J72" s="17"/>
      <c r="K72" s="17"/>
    </row>
    <row r="73" spans="8:11" x14ac:dyDescent="0.25">
      <c r="H73" s="17"/>
      <c r="I73" s="17"/>
      <c r="J73" s="17"/>
      <c r="K73" s="17"/>
    </row>
    <row r="74" spans="8:11" x14ac:dyDescent="0.25">
      <c r="H74" s="17"/>
      <c r="I74" s="17"/>
      <c r="J74" s="17"/>
      <c r="K74" s="17"/>
    </row>
    <row r="75" spans="8:11" x14ac:dyDescent="0.25">
      <c r="H75" s="17"/>
      <c r="I75" s="17"/>
      <c r="J75" s="17"/>
      <c r="K75" s="17"/>
    </row>
    <row r="76" spans="8:11" x14ac:dyDescent="0.25">
      <c r="H76" s="17"/>
      <c r="I76" s="17"/>
      <c r="J76" s="17"/>
      <c r="K76" s="17"/>
    </row>
    <row r="77" spans="8:11" x14ac:dyDescent="0.25">
      <c r="H77" s="17"/>
      <c r="I77" s="17"/>
      <c r="J77" s="17"/>
      <c r="K77" s="17"/>
    </row>
    <row r="78" spans="8:11" x14ac:dyDescent="0.25">
      <c r="H78" s="17"/>
      <c r="I78" s="17"/>
      <c r="J78" s="17"/>
      <c r="K78" s="17"/>
    </row>
    <row r="79" spans="8:11" x14ac:dyDescent="0.25">
      <c r="H79" s="17"/>
      <c r="I79" s="17"/>
      <c r="J79" s="17"/>
      <c r="K79" s="17"/>
    </row>
    <row r="80" spans="8:11" x14ac:dyDescent="0.25">
      <c r="H80" s="17"/>
      <c r="I80" s="17"/>
      <c r="J80" s="17"/>
      <c r="K80" s="17"/>
    </row>
    <row r="81" spans="8:11" x14ac:dyDescent="0.25">
      <c r="H81" s="17"/>
      <c r="I81" s="17"/>
      <c r="J81" s="17"/>
      <c r="K81" s="17"/>
    </row>
    <row r="82" spans="8:11" x14ac:dyDescent="0.25">
      <c r="H82" s="17"/>
      <c r="I82" s="17"/>
      <c r="J82" s="17"/>
      <c r="K82" s="17"/>
    </row>
    <row r="83" spans="8:11" x14ac:dyDescent="0.25">
      <c r="H83" s="17"/>
      <c r="I83" s="17"/>
      <c r="J83" s="17"/>
      <c r="K83" s="17"/>
    </row>
    <row r="84" spans="8:11" x14ac:dyDescent="0.25">
      <c r="H84" s="17"/>
      <c r="I84" s="17"/>
      <c r="J84" s="17"/>
      <c r="K84" s="17"/>
    </row>
    <row r="85" spans="8:11" x14ac:dyDescent="0.25">
      <c r="H85" s="17"/>
      <c r="I85" s="17"/>
      <c r="J85" s="17"/>
      <c r="K85" s="17"/>
    </row>
    <row r="86" spans="8:11" x14ac:dyDescent="0.25">
      <c r="H86" s="17"/>
      <c r="I86" s="17"/>
      <c r="J86" s="17"/>
      <c r="K86" s="17"/>
    </row>
    <row r="87" spans="8:11" x14ac:dyDescent="0.25">
      <c r="H87" s="17"/>
      <c r="I87" s="17"/>
      <c r="J87" s="17"/>
      <c r="K87" s="17"/>
    </row>
    <row r="88" spans="8:11" x14ac:dyDescent="0.25">
      <c r="H88" s="17"/>
      <c r="I88" s="17"/>
      <c r="J88" s="17"/>
      <c r="K88" s="17"/>
    </row>
    <row r="89" spans="8:11" x14ac:dyDescent="0.25">
      <c r="H89" s="17"/>
      <c r="I89" s="17"/>
      <c r="J89" s="17"/>
      <c r="K89" s="17"/>
    </row>
    <row r="90" spans="8:11" x14ac:dyDescent="0.25">
      <c r="H90" s="17"/>
      <c r="I90" s="17"/>
      <c r="J90" s="17"/>
      <c r="K90" s="17"/>
    </row>
    <row r="91" spans="8:11" x14ac:dyDescent="0.25">
      <c r="H91" s="17"/>
      <c r="I91" s="17"/>
      <c r="J91" s="17"/>
      <c r="K91" s="17"/>
    </row>
    <row r="92" spans="8:11" x14ac:dyDescent="0.25">
      <c r="H92" s="17"/>
      <c r="I92" s="17"/>
      <c r="J92" s="17"/>
      <c r="K92" s="17"/>
    </row>
    <row r="93" spans="8:11" x14ac:dyDescent="0.25">
      <c r="H93" s="17"/>
      <c r="I93" s="17"/>
      <c r="J93" s="17"/>
      <c r="K93" s="17"/>
    </row>
    <row r="94" spans="8:11" x14ac:dyDescent="0.25">
      <c r="H94" s="17"/>
      <c r="I94" s="17"/>
      <c r="J94" s="17"/>
      <c r="K94" s="17"/>
    </row>
    <row r="95" spans="8:11" x14ac:dyDescent="0.25">
      <c r="H95" s="17"/>
      <c r="I95" s="17"/>
      <c r="J95" s="17"/>
      <c r="K95" s="17"/>
    </row>
    <row r="96" spans="8:11" x14ac:dyDescent="0.25">
      <c r="H96" s="17"/>
      <c r="I96" s="17"/>
      <c r="J96" s="17"/>
      <c r="K96" s="17"/>
    </row>
    <row r="97" spans="8:11" x14ac:dyDescent="0.25">
      <c r="H97" s="17"/>
      <c r="I97" s="17"/>
      <c r="J97" s="17"/>
      <c r="K97" s="17"/>
    </row>
    <row r="98" spans="8:11" x14ac:dyDescent="0.25">
      <c r="H98" s="17"/>
      <c r="I98" s="17"/>
      <c r="J98" s="17"/>
      <c r="K98" s="17"/>
    </row>
    <row r="99" spans="8:11" x14ac:dyDescent="0.25">
      <c r="H99" s="17"/>
      <c r="I99" s="17"/>
      <c r="J99" s="17"/>
      <c r="K99" s="17"/>
    </row>
    <row r="100" spans="8:11" x14ac:dyDescent="0.25">
      <c r="H100" s="17"/>
      <c r="I100" s="17"/>
      <c r="J100" s="17"/>
      <c r="K100" s="17"/>
    </row>
    <row r="101" spans="8:11" x14ac:dyDescent="0.25">
      <c r="H101" s="17"/>
      <c r="I101" s="17"/>
      <c r="J101" s="17"/>
      <c r="K101" s="17"/>
    </row>
    <row r="102" spans="8:11" x14ac:dyDescent="0.25">
      <c r="H102" s="17"/>
      <c r="I102" s="17"/>
      <c r="J102" s="17"/>
      <c r="K102" s="17"/>
    </row>
    <row r="103" spans="8:11" x14ac:dyDescent="0.25">
      <c r="H103" s="17"/>
      <c r="I103" s="17"/>
      <c r="J103" s="17"/>
      <c r="K103" s="1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5"/>
  <sheetViews>
    <sheetView zoomScale="160" zoomScaleNormal="160" workbookViewId="0">
      <selection activeCell="D5" sqref="D5"/>
    </sheetView>
  </sheetViews>
  <sheetFormatPr defaultRowHeight="15" x14ac:dyDescent="0.25"/>
  <cols>
    <col min="1" max="1" width="9.5703125" style="1" bestFit="1" customWidth="1"/>
    <col min="2" max="2" width="15.7109375" style="1" bestFit="1" customWidth="1"/>
    <col min="3" max="3" width="11.7109375" style="1" bestFit="1" customWidth="1"/>
    <col min="4" max="4" width="11.42578125" style="1" bestFit="1" customWidth="1"/>
    <col min="6" max="6" width="10.140625" bestFit="1" customWidth="1"/>
    <col min="7" max="7" width="11.140625" bestFit="1" customWidth="1"/>
  </cols>
  <sheetData>
    <row r="2" spans="1:6" ht="18" x14ac:dyDescent="0.35">
      <c r="A2" s="6" t="s">
        <v>6</v>
      </c>
      <c r="B2" s="6" t="s">
        <v>1</v>
      </c>
      <c r="C2" s="6" t="s">
        <v>5</v>
      </c>
      <c r="D2" s="6" t="s">
        <v>29</v>
      </c>
    </row>
    <row r="3" spans="1:6" x14ac:dyDescent="0.25">
      <c r="A3" s="3" t="s">
        <v>8</v>
      </c>
      <c r="B3" s="3" t="s">
        <v>7</v>
      </c>
      <c r="C3" s="4">
        <v>1653.1990499999999</v>
      </c>
      <c r="D3" s="5">
        <f>C3/'Material streams'!$D$12</f>
        <v>4.4085295781983044E-2</v>
      </c>
      <c r="E3" s="15"/>
      <c r="F3" s="15"/>
    </row>
    <row r="4" spans="1:6" x14ac:dyDescent="0.25">
      <c r="A4" s="3" t="s">
        <v>33</v>
      </c>
      <c r="B4" s="3" t="s">
        <v>7</v>
      </c>
      <c r="C4" s="4">
        <v>625.07709599999998</v>
      </c>
      <c r="D4" s="5">
        <f>C4/'Material streams'!$D$12</f>
        <v>1.6668717940349055E-2</v>
      </c>
      <c r="E4" s="15"/>
      <c r="F4" s="15"/>
    </row>
    <row r="5" spans="1:6" ht="14.25" customHeight="1" x14ac:dyDescent="0.25">
      <c r="A5" s="3"/>
      <c r="B5" s="12" t="s">
        <v>9</v>
      </c>
      <c r="C5" s="13">
        <f>SUM(C3:C4)</f>
        <v>2278.2761460000002</v>
      </c>
      <c r="D5" s="16">
        <f>SUM(D3:D4)</f>
        <v>6.0754013722332099E-2</v>
      </c>
      <c r="E5" s="14"/>
      <c r="F5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zoomScale="145" zoomScaleNormal="145" workbookViewId="0">
      <selection activeCell="E3" sqref="E3"/>
    </sheetView>
  </sheetViews>
  <sheetFormatPr defaultRowHeight="15" x14ac:dyDescent="0.25"/>
  <cols>
    <col min="1" max="1" width="26" customWidth="1"/>
    <col min="2" max="2" width="19.85546875" bestFit="1" customWidth="1"/>
    <col min="3" max="3" width="21.28515625" bestFit="1" customWidth="1"/>
    <col min="4" max="4" width="19.140625" bestFit="1" customWidth="1"/>
    <col min="5" max="5" width="7.85546875" bestFit="1" customWidth="1"/>
    <col min="6" max="6" width="4.7109375" bestFit="1" customWidth="1"/>
    <col min="7" max="7" width="5.28515625" bestFit="1" customWidth="1"/>
    <col min="8" max="8" width="12.140625" bestFit="1" customWidth="1"/>
    <col min="11" max="11" width="13" bestFit="1" customWidth="1"/>
  </cols>
  <sheetData>
    <row r="1" spans="1:8" ht="18" x14ac:dyDescent="0.35">
      <c r="A1" s="6" t="s">
        <v>10</v>
      </c>
      <c r="B1" s="6" t="s">
        <v>11</v>
      </c>
      <c r="C1" s="6" t="s">
        <v>28</v>
      </c>
      <c r="D1" s="8" t="s">
        <v>30</v>
      </c>
    </row>
    <row r="2" spans="1:8" x14ac:dyDescent="0.25">
      <c r="A2" s="3" t="s">
        <v>36</v>
      </c>
      <c r="B2" s="4">
        <v>19020835.5617579</v>
      </c>
      <c r="C2" s="4">
        <f>B2/B8/E8</f>
        <v>9104571.8415609058</v>
      </c>
      <c r="D2" s="4">
        <f>C2/'Material streams'!$D$12</f>
        <v>242.78851515401405</v>
      </c>
      <c r="E2" s="19">
        <f>B2/1000/'Material streams'!$D$12</f>
        <v>0.50722214107282404</v>
      </c>
      <c r="H2" s="10"/>
    </row>
    <row r="3" spans="1:8" x14ac:dyDescent="0.25">
      <c r="A3" s="3" t="s">
        <v>17</v>
      </c>
      <c r="B3" s="4">
        <v>174924433.42381099</v>
      </c>
      <c r="C3" s="4">
        <f>B3/B9/E9</f>
        <v>8363587.5411814954</v>
      </c>
      <c r="D3" s="4">
        <f>C3/'Material streams'!$D$12</f>
        <v>223.02893928682971</v>
      </c>
      <c r="E3" s="19">
        <f>B3/1000/'Material streams'!$D$12</f>
        <v>4.6646502651840436</v>
      </c>
    </row>
    <row r="6" spans="1:8" x14ac:dyDescent="0.25">
      <c r="A6" s="7" t="s">
        <v>27</v>
      </c>
    </row>
    <row r="7" spans="1:8" ht="18" x14ac:dyDescent="0.35">
      <c r="A7" s="6" t="s">
        <v>10</v>
      </c>
      <c r="B7" s="6" t="s">
        <v>12</v>
      </c>
      <c r="C7" s="9" t="s">
        <v>14</v>
      </c>
      <c r="D7" s="9" t="s">
        <v>15</v>
      </c>
      <c r="E7" s="9" t="s">
        <v>13</v>
      </c>
    </row>
    <row r="8" spans="1:8" x14ac:dyDescent="0.25">
      <c r="A8" s="3" t="s">
        <v>36</v>
      </c>
      <c r="B8" s="21">
        <v>2.0891521197</v>
      </c>
      <c r="C8" s="3">
        <v>149</v>
      </c>
      <c r="D8" s="3">
        <v>150</v>
      </c>
      <c r="E8" s="3">
        <f>D8-C8</f>
        <v>1</v>
      </c>
    </row>
    <row r="9" spans="1:8" x14ac:dyDescent="0.25">
      <c r="A9" s="3" t="s">
        <v>17</v>
      </c>
      <c r="B9" s="21">
        <v>4.1829999999999998</v>
      </c>
      <c r="C9" s="3">
        <v>15</v>
      </c>
      <c r="D9" s="3">
        <v>20</v>
      </c>
      <c r="E9" s="3">
        <f>D9-C9</f>
        <v>5</v>
      </c>
    </row>
    <row r="11" spans="1:8" x14ac:dyDescent="0.25">
      <c r="E11" s="11"/>
    </row>
    <row r="12" spans="1:8" x14ac:dyDescent="0.25">
      <c r="A12" t="s">
        <v>16</v>
      </c>
      <c r="E12" s="11"/>
    </row>
    <row r="13" spans="1:8" x14ac:dyDescent="0.25">
      <c r="E13" s="11"/>
    </row>
    <row r="14" spans="1:8" x14ac:dyDescent="0.25">
      <c r="D14" s="11"/>
      <c r="E14" s="11"/>
    </row>
    <row r="15" spans="1:8" x14ac:dyDescent="0.25">
      <c r="E15" s="11"/>
    </row>
    <row r="16" spans="1:8" x14ac:dyDescent="0.25">
      <c r="D16" s="11"/>
      <c r="E16" s="11"/>
    </row>
    <row r="17" spans="4:5" x14ac:dyDescent="0.25">
      <c r="E17" s="11"/>
    </row>
    <row r="18" spans="4:5" x14ac:dyDescent="0.25">
      <c r="E18" s="11"/>
    </row>
    <row r="19" spans="4:5" x14ac:dyDescent="0.25">
      <c r="E19" s="11"/>
    </row>
    <row r="20" spans="4:5" x14ac:dyDescent="0.25">
      <c r="E20" s="11"/>
    </row>
    <row r="21" spans="4:5" x14ac:dyDescent="0.25">
      <c r="D21" s="11"/>
      <c r="E21" s="1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Material streams</vt:lpstr>
      <vt:lpstr>Electricity</vt:lpstr>
      <vt:lpstr>Utilities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2020-04-23T14:14:32Z</dcterms:created>
  <dcterms:modified xsi:type="dcterms:W3CDTF">2025-02-23T19:09:14Z</dcterms:modified>
</cp:coreProperties>
</file>