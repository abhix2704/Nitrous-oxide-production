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6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simulations\AON_88\"/>
    </mc:Choice>
  </mc:AlternateContent>
  <xr:revisionPtr revIDLastSave="0" documentId="13_ncr:1_{5E9C43A5-C7B3-4ED1-8A86-16DA28FCF459}" xr6:coauthVersionLast="36" xr6:coauthVersionMax="36" xr10:uidLastSave="{00000000-0000-0000-0000-000000000000}"/>
  <bookViews>
    <workbookView xWindow="0" yWindow="0" windowWidth="17265" windowHeight="5775" activeTab="3" xr2:uid="{00000000-000D-0000-FFFF-FFFF00000000}"/>
  </bookViews>
  <sheets>
    <sheet name="CAPEX" sheetId="7" r:id="rId1"/>
    <sheet name="Production costs" sheetId="12" r:id="rId2"/>
    <sheet name="OPEX" sheetId="8" r:id="rId3"/>
    <sheet name="Summary" sheetId="11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3" i="11" l="1"/>
  <c r="E10" i="8" l="1"/>
  <c r="D10" i="8"/>
  <c r="D9" i="8"/>
  <c r="D7" i="8"/>
  <c r="D6" i="8"/>
  <c r="F10" i="8" l="1"/>
  <c r="E11" i="8"/>
  <c r="E9" i="8"/>
  <c r="D30" i="7"/>
  <c r="H30" i="7" s="1"/>
  <c r="O16" i="7"/>
  <c r="P16" i="7" s="1"/>
  <c r="D25" i="7"/>
  <c r="H25" i="7" s="1"/>
  <c r="D24" i="7"/>
  <c r="H24" i="7" s="1"/>
  <c r="D23" i="7"/>
  <c r="H23" i="7" s="1"/>
  <c r="D22" i="7"/>
  <c r="H22" i="7" s="1"/>
  <c r="D21" i="7"/>
  <c r="H21" i="7" s="1"/>
  <c r="D20" i="7"/>
  <c r="H20" i="7" s="1"/>
  <c r="D19" i="7"/>
  <c r="H19" i="7" s="1"/>
  <c r="D18" i="7"/>
  <c r="H18" i="7" s="1"/>
  <c r="Q16" i="7" l="1"/>
  <c r="S16" i="7" s="1"/>
  <c r="D29" i="7" s="1"/>
  <c r="H29" i="7" s="1"/>
  <c r="D17" i="7" l="1"/>
  <c r="H17" i="7" s="1"/>
  <c r="H15" i="7" l="1"/>
  <c r="O14" i="7" l="1"/>
  <c r="P14" i="7" s="1"/>
  <c r="Q14" i="7" s="1"/>
  <c r="S14" i="7" s="1"/>
  <c r="D33" i="7" s="1"/>
  <c r="H33" i="7" s="1"/>
  <c r="H14" i="7"/>
  <c r="F17" i="11" l="1"/>
  <c r="F16" i="11"/>
  <c r="F15" i="11"/>
  <c r="F11" i="8"/>
  <c r="F5" i="8"/>
  <c r="F7" i="8"/>
  <c r="F6" i="8"/>
  <c r="F9" i="8" l="1"/>
  <c r="F12" i="8" l="1"/>
  <c r="F13" i="8"/>
  <c r="F20" i="11" s="1"/>
  <c r="C20" i="11"/>
  <c r="C14" i="11"/>
  <c r="F14" i="11" s="1"/>
  <c r="C13" i="11"/>
  <c r="F13" i="11" s="1"/>
  <c r="C12" i="11"/>
  <c r="F12" i="11" s="1"/>
  <c r="C11" i="11"/>
  <c r="F11" i="11" s="1"/>
  <c r="C6" i="12"/>
  <c r="C7" i="12" s="1"/>
  <c r="B51" i="7"/>
  <c r="C8" i="12" l="1"/>
  <c r="C9" i="12" s="1"/>
  <c r="O15" i="7" l="1"/>
  <c r="P15" i="7" s="1"/>
  <c r="Q15" i="7" s="1"/>
  <c r="S15" i="7" s="1"/>
  <c r="D27" i="7" l="1"/>
  <c r="H27" i="7" s="1"/>
  <c r="O13" i="7" l="1"/>
  <c r="P13" i="7" s="1"/>
  <c r="Q13" i="7" s="1"/>
  <c r="S13" i="7" s="1"/>
  <c r="D32" i="7" s="1"/>
  <c r="H32" i="7" s="1"/>
  <c r="H34" i="7" s="1"/>
  <c r="B38" i="7" l="1"/>
  <c r="B39" i="7"/>
  <c r="B42" i="7" l="1"/>
  <c r="C3" i="11"/>
  <c r="F3" i="11" s="1"/>
  <c r="B46" i="7" l="1"/>
  <c r="B43" i="7"/>
  <c r="B45" i="7" s="1"/>
  <c r="C7" i="11" s="1"/>
  <c r="F7" i="11" s="1"/>
  <c r="C11" i="12"/>
  <c r="C4" i="11"/>
  <c r="F4" i="11" s="1"/>
  <c r="C15" i="12" l="1"/>
  <c r="B44" i="7"/>
  <c r="C6" i="11" s="1"/>
  <c r="F6" i="11" s="1"/>
  <c r="C5" i="11"/>
  <c r="F5" i="11" s="1"/>
  <c r="C12" i="12"/>
  <c r="C14" i="12"/>
  <c r="C16" i="12" s="1"/>
  <c r="B47" i="7"/>
  <c r="C8" i="11"/>
  <c r="F8" i="11" s="1"/>
  <c r="B48" i="7" l="1"/>
  <c r="C18" i="12"/>
  <c r="C19" i="12" s="1"/>
  <c r="C20" i="12" s="1"/>
  <c r="C9" i="11"/>
  <c r="F9" i="11" s="1"/>
  <c r="C10" i="11" l="1"/>
  <c r="F10" i="11" s="1"/>
  <c r="B52" i="7"/>
  <c r="B53" i="7" s="1"/>
  <c r="C18" i="11" s="1"/>
  <c r="F18" i="11" l="1"/>
  <c r="C21" i="11"/>
  <c r="C22" i="11" s="1"/>
  <c r="C24" i="11" s="1"/>
  <c r="F21" i="11" l="1"/>
  <c r="F22" i="11" s="1"/>
  <c r="F24" i="11" s="1"/>
</calcChain>
</file>

<file path=xl/sharedStrings.xml><?xml version="1.0" encoding="utf-8"?>
<sst xmlns="http://schemas.openxmlformats.org/spreadsheetml/2006/main" count="204" uniqueCount="135">
  <si>
    <t>Cost factors</t>
  </si>
  <si>
    <t>Equipment erection</t>
  </si>
  <si>
    <t>Piping</t>
  </si>
  <si>
    <t>Instrumentation and control</t>
  </si>
  <si>
    <t>Electrical</t>
  </si>
  <si>
    <t>Civil</t>
  </si>
  <si>
    <t>Structures and buildings</t>
  </si>
  <si>
    <t>Lagging and paint</t>
  </si>
  <si>
    <t>Material factor for 304 SS</t>
  </si>
  <si>
    <t xml:space="preserve">Equipment </t>
  </si>
  <si>
    <t>a</t>
  </si>
  <si>
    <t>b</t>
  </si>
  <si>
    <t>n</t>
  </si>
  <si>
    <t>Equipment approximated as</t>
  </si>
  <si>
    <t>Dimension needed</t>
  </si>
  <si>
    <t>Value</t>
  </si>
  <si>
    <t>Volume</t>
  </si>
  <si>
    <t>h (m)</t>
  </si>
  <si>
    <t>Shell mass (kg)</t>
  </si>
  <si>
    <r>
      <t>Purchased Cost (C</t>
    </r>
    <r>
      <rPr>
        <b/>
        <vertAlign val="subscript"/>
        <sz val="11"/>
        <color theme="1"/>
        <rFont val="Calibri"/>
        <family val="2"/>
        <scheme val="minor"/>
      </rPr>
      <t>e,i,a</t>
    </r>
    <r>
      <rPr>
        <b/>
        <sz val="11"/>
        <color theme="1"/>
        <rFont val="Calibri"/>
        <family val="2"/>
        <scheme val="minor"/>
      </rPr>
      <t>)</t>
    </r>
  </si>
  <si>
    <t>Internal diameter (m)</t>
  </si>
  <si>
    <t>External diameter (m)</t>
  </si>
  <si>
    <t>Equipment</t>
  </si>
  <si>
    <t>Material</t>
  </si>
  <si>
    <t>Cooling water</t>
  </si>
  <si>
    <t>Electricity</t>
  </si>
  <si>
    <t>Project lifetime</t>
  </si>
  <si>
    <t>Interest rate</t>
  </si>
  <si>
    <t>ACCR</t>
  </si>
  <si>
    <t>Unit</t>
  </si>
  <si>
    <t>Quantity</t>
  </si>
  <si>
    <t>ton/hr</t>
  </si>
  <si>
    <t>GJ/hr</t>
  </si>
  <si>
    <t>kWh</t>
  </si>
  <si>
    <t>CEPCI 2010</t>
  </si>
  <si>
    <t>CEPCI 2019</t>
  </si>
  <si>
    <t>CAPEX (M$/year)</t>
  </si>
  <si>
    <t>M$/year</t>
  </si>
  <si>
    <r>
      <t>f</t>
    </r>
    <r>
      <rPr>
        <vertAlign val="subscript"/>
        <sz val="11"/>
        <color theme="1"/>
        <rFont val="Calibri"/>
        <family val="2"/>
        <scheme val="minor"/>
      </rPr>
      <t>er</t>
    </r>
  </si>
  <si>
    <r>
      <t>f</t>
    </r>
    <r>
      <rPr>
        <vertAlign val="subscript"/>
        <sz val="11"/>
        <color theme="1"/>
        <rFont val="Calibri"/>
        <family val="2"/>
        <scheme val="minor"/>
      </rPr>
      <t>p</t>
    </r>
  </si>
  <si>
    <r>
      <t>f</t>
    </r>
    <r>
      <rPr>
        <vertAlign val="subscript"/>
        <sz val="11"/>
        <color theme="1"/>
        <rFont val="Calibri"/>
        <family val="2"/>
        <scheme val="minor"/>
      </rPr>
      <t>i</t>
    </r>
  </si>
  <si>
    <r>
      <t>f</t>
    </r>
    <r>
      <rPr>
        <vertAlign val="subscript"/>
        <sz val="11"/>
        <color theme="1"/>
        <rFont val="Calibri"/>
        <family val="2"/>
        <scheme val="minor"/>
      </rPr>
      <t>el</t>
    </r>
  </si>
  <si>
    <r>
      <t>f</t>
    </r>
    <r>
      <rPr>
        <vertAlign val="subscript"/>
        <sz val="11"/>
        <color theme="1"/>
        <rFont val="Calibri"/>
        <family val="2"/>
        <scheme val="minor"/>
      </rPr>
      <t>c</t>
    </r>
  </si>
  <si>
    <r>
      <t>f</t>
    </r>
    <r>
      <rPr>
        <vertAlign val="subscript"/>
        <sz val="11"/>
        <color theme="1"/>
        <rFont val="Calibri"/>
        <family val="2"/>
        <scheme val="minor"/>
      </rPr>
      <t>s</t>
    </r>
  </si>
  <si>
    <r>
      <t>f</t>
    </r>
    <r>
      <rPr>
        <vertAlign val="subscript"/>
        <sz val="11"/>
        <color theme="1"/>
        <rFont val="Calibri"/>
        <family val="2"/>
        <scheme val="minor"/>
      </rPr>
      <t>l</t>
    </r>
  </si>
  <si>
    <r>
      <t>f</t>
    </r>
    <r>
      <rPr>
        <vertAlign val="subscript"/>
        <sz val="11"/>
        <color theme="1"/>
        <rFont val="Calibri"/>
        <family val="2"/>
        <scheme val="minor"/>
      </rPr>
      <t>m</t>
    </r>
  </si>
  <si>
    <t>V-100</t>
  </si>
  <si>
    <r>
      <t>Area for shell 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</si>
  <si>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r>
      <t>Density (kg/m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</si>
  <si>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U Tube HEX</t>
  </si>
  <si>
    <t xml:space="preserve">Area </t>
  </si>
  <si>
    <t>Reactors</t>
  </si>
  <si>
    <t>Shell mass, kg</t>
  </si>
  <si>
    <t>Purchased equipment cost 2019</t>
  </si>
  <si>
    <t>Installed capital cost</t>
  </si>
  <si>
    <t>Offsites (OS)</t>
  </si>
  <si>
    <t>Design and Engineering (D&amp;E)</t>
  </si>
  <si>
    <t>Contingency (X)</t>
  </si>
  <si>
    <t>Fixed capital investment</t>
  </si>
  <si>
    <t>Total investment</t>
  </si>
  <si>
    <t>Annualized capital</t>
  </si>
  <si>
    <t>Working capital</t>
  </si>
  <si>
    <t>Supervision</t>
  </si>
  <si>
    <t>25% of operating Labor</t>
  </si>
  <si>
    <t>Description</t>
  </si>
  <si>
    <t>Assumption</t>
  </si>
  <si>
    <t>Direct overhead</t>
  </si>
  <si>
    <t>45% of labor and supervision</t>
  </si>
  <si>
    <t xml:space="preserve">Maintanance </t>
  </si>
  <si>
    <t>3% of the installed capital cost</t>
  </si>
  <si>
    <t>Overhead expenses</t>
  </si>
  <si>
    <t>Plant overhead</t>
  </si>
  <si>
    <t>Operating labor</t>
  </si>
  <si>
    <t>65% of labor and maintanace</t>
  </si>
  <si>
    <t>Tax &amp; Insurance</t>
  </si>
  <si>
    <t>Design and engineering (D&amp;E)</t>
  </si>
  <si>
    <t>2% of installed cost and offsites</t>
  </si>
  <si>
    <t>Interest</t>
  </si>
  <si>
    <t>Interest on debit</t>
  </si>
  <si>
    <t>6% of working capital</t>
  </si>
  <si>
    <t>Labor costs</t>
  </si>
  <si>
    <t>Maintanance costs</t>
  </si>
  <si>
    <t>Total fixed production costs</t>
  </si>
  <si>
    <t>9 shift positions, 9 operators/shift</t>
  </si>
  <si>
    <t>CEPCI 2018</t>
  </si>
  <si>
    <t>Reference Data</t>
  </si>
  <si>
    <t xml:space="preserve">OPEX (M$/year) </t>
  </si>
  <si>
    <t>Heat exchangers</t>
  </si>
  <si>
    <t>Pressure vessel</t>
  </si>
  <si>
    <t>CRV-100</t>
  </si>
  <si>
    <t>Flash separators</t>
  </si>
  <si>
    <t>CEPCI 2022</t>
  </si>
  <si>
    <t>Purchased equipment cost 2022</t>
  </si>
  <si>
    <t>Purchased equipment cost 2022 (M$/year)</t>
  </si>
  <si>
    <t>Total product Produced (kg/hr)</t>
  </si>
  <si>
    <t>Total expenses ($/hr)</t>
  </si>
  <si>
    <t>Total expenses (M$/year)</t>
  </si>
  <si>
    <t>Fixed production costs (M$/year)</t>
  </si>
  <si>
    <t>Fossil ammonia 2022</t>
  </si>
  <si>
    <t>Oxygen</t>
  </si>
  <si>
    <t>Ammonia fossil</t>
  </si>
  <si>
    <t>2022 costs</t>
  </si>
  <si>
    <t>Raw material costs</t>
  </si>
  <si>
    <t>Ammonia wind</t>
  </si>
  <si>
    <t>Utility costs</t>
  </si>
  <si>
    <t>Price 2022 ($/unit)</t>
  </si>
  <si>
    <t>OPEX (fossil ammonia)</t>
  </si>
  <si>
    <t>OPEX (wind ammonia)</t>
  </si>
  <si>
    <t>Wind ammonia 2022</t>
  </si>
  <si>
    <t xml:space="preserve">Cost per kg </t>
  </si>
  <si>
    <t>Compressors</t>
  </si>
  <si>
    <t xml:space="preserve">Centrifugal Compressor </t>
  </si>
  <si>
    <t>Power, kW</t>
  </si>
  <si>
    <t>K-100</t>
  </si>
  <si>
    <t>K-101</t>
  </si>
  <si>
    <t>V-101</t>
  </si>
  <si>
    <t>E-103</t>
  </si>
  <si>
    <t>E-104</t>
  </si>
  <si>
    <t>E-105</t>
  </si>
  <si>
    <t>E-106</t>
  </si>
  <si>
    <t>E-107</t>
  </si>
  <si>
    <t>E-108</t>
  </si>
  <si>
    <t>E-109</t>
  </si>
  <si>
    <t>E-110</t>
  </si>
  <si>
    <t>E-111</t>
  </si>
  <si>
    <t>B11</t>
  </si>
  <si>
    <t>Structure</t>
  </si>
  <si>
    <t>Pressure Vessel</t>
  </si>
  <si>
    <t>Valve trays</t>
  </si>
  <si>
    <t>Tray</t>
  </si>
  <si>
    <t>diameter, m</t>
  </si>
  <si>
    <t>B11 distillation column</t>
  </si>
  <si>
    <t>N stages</t>
  </si>
  <si>
    <t>Refrigerant to -150 °C</t>
  </si>
  <si>
    <t>CEPCI 2017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</si>
</sst>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0" fontId="1" fillId="0" borderId="1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4" fillId="0" borderId="1" xfId="1" applyFont="1" applyBorder="1" applyAlignment="1">
      <alignment horizontal="center"/>
    </xf>
    <xf numFmtId="0" fontId="0" fillId="0" borderId="1" xfId="0" applyBorder="1" applyAlignment="1">
      <alignment horizontal="right"/>
    </xf>
    <xf numFmtId="2" fontId="0" fillId="0" borderId="1" xfId="0" applyNumberFormat="1" applyBorder="1" applyAlignment="1">
      <alignment horizontal="right"/>
    </xf>
    <xf numFmtId="0" fontId="0" fillId="0" borderId="1" xfId="0" applyBorder="1"/>
    <xf numFmtId="0" fontId="0" fillId="0" borderId="0" xfId="0" applyFont="1"/>
    <xf numFmtId="0" fontId="0" fillId="0" borderId="1" xfId="0" applyFont="1" applyBorder="1"/>
    <xf numFmtId="0" fontId="1" fillId="0" borderId="1" xfId="0" applyFont="1" applyBorder="1"/>
    <xf numFmtId="0" fontId="0" fillId="0" borderId="1" xfId="0" applyFont="1" applyFill="1" applyBorder="1"/>
    <xf numFmtId="0" fontId="0" fillId="0" borderId="0" xfId="0" applyFont="1" applyBorder="1"/>
    <xf numFmtId="0" fontId="0" fillId="0" borderId="1" xfId="0" applyFont="1" applyBorder="1" applyAlignment="1">
      <alignment horizontal="center"/>
    </xf>
    <xf numFmtId="2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4" fontId="0" fillId="0" borderId="1" xfId="0" applyNumberFormat="1" applyBorder="1"/>
    <xf numFmtId="2" fontId="0" fillId="0" borderId="1" xfId="0" applyNumberFormat="1" applyBorder="1"/>
    <xf numFmtId="0" fontId="0" fillId="0" borderId="0" xfId="0" applyFill="1" applyBorder="1" applyAlignment="1">
      <alignment horizontal="center"/>
    </xf>
    <xf numFmtId="2" fontId="0" fillId="0" borderId="1" xfId="0" applyNumberFormat="1" applyFont="1" applyBorder="1"/>
    <xf numFmtId="0" fontId="0" fillId="0" borderId="1" xfId="0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Font="1" applyBorder="1" applyAlignment="1">
      <alignment horizontal="left"/>
    </xf>
    <xf numFmtId="2" fontId="0" fillId="0" borderId="3" xfId="0" applyNumberFormat="1" applyFont="1" applyBorder="1"/>
    <xf numFmtId="0" fontId="1" fillId="0" borderId="1" xfId="0" applyFont="1" applyFill="1" applyBorder="1"/>
    <xf numFmtId="2" fontId="1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 applyBorder="1"/>
    <xf numFmtId="0" fontId="8" fillId="0" borderId="1" xfId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0" xfId="0" applyFill="1" applyBorder="1" applyAlignment="1">
      <alignment horizontal="left"/>
    </xf>
    <xf numFmtId="2" fontId="0" fillId="0" borderId="1" xfId="0" applyNumberFormat="1" applyFont="1" applyFill="1" applyBorder="1" applyAlignment="1">
      <alignment horizontal="center"/>
    </xf>
    <xf numFmtId="0" fontId="0" fillId="0" borderId="2" xfId="0" applyFont="1" applyBorder="1"/>
    <xf numFmtId="2" fontId="0" fillId="0" borderId="1" xfId="0" applyNumberFormat="1" applyFont="1" applyBorder="1" applyAlignment="1">
      <alignment horizontal="center"/>
    </xf>
    <xf numFmtId="11" fontId="0" fillId="0" borderId="0" xfId="0" applyNumberFormat="1"/>
    <xf numFmtId="165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0" fontId="4" fillId="0" borderId="0" xfId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4" xfId="1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1"/>
  <sheetViews>
    <sheetView zoomScale="115" zoomScaleNormal="115" workbookViewId="0">
      <selection activeCell="M19" sqref="M19"/>
    </sheetView>
  </sheetViews>
  <sheetFormatPr defaultRowHeight="15" x14ac:dyDescent="0.25"/>
  <cols>
    <col min="1" max="1" width="27.85546875" bestFit="1" customWidth="1"/>
    <col min="2" max="2" width="21.140625" bestFit="1" customWidth="1"/>
    <col min="3" max="3" width="16.140625" bestFit="1" customWidth="1"/>
    <col min="4" max="4" width="9.5703125" style="31" bestFit="1" customWidth="1"/>
    <col min="5" max="5" width="7.7109375" bestFit="1" customWidth="1"/>
    <col min="6" max="6" width="6.85546875" bestFit="1" customWidth="1"/>
    <col min="7" max="7" width="5.7109375" bestFit="1" customWidth="1"/>
    <col min="8" max="8" width="9.28515625" bestFit="1" customWidth="1"/>
    <col min="10" max="10" width="11.140625" bestFit="1" customWidth="1"/>
    <col min="11" max="11" width="11.5703125" bestFit="1" customWidth="1"/>
    <col min="12" max="12" width="10.7109375" bestFit="1" customWidth="1"/>
    <col min="13" max="13" width="9.140625" bestFit="1" customWidth="1"/>
    <col min="14" max="14" width="5.7109375" bestFit="1" customWidth="1"/>
    <col min="15" max="15" width="8.28515625" bestFit="1" customWidth="1"/>
    <col min="16" max="16" width="7.28515625" bestFit="1" customWidth="1"/>
    <col min="17" max="17" width="8" bestFit="1" customWidth="1"/>
    <col min="18" max="18" width="7.85546875" bestFit="1" customWidth="1"/>
    <col min="19" max="19" width="8.28515625" bestFit="1" customWidth="1"/>
  </cols>
  <sheetData>
    <row r="1" spans="1:20" x14ac:dyDescent="0.25">
      <c r="A1" s="2" t="s">
        <v>0</v>
      </c>
      <c r="B1" s="3"/>
      <c r="C1" s="3"/>
    </row>
    <row r="2" spans="1:20" ht="18" x14ac:dyDescent="0.35">
      <c r="A2" s="3" t="s">
        <v>1</v>
      </c>
      <c r="B2" s="3" t="s">
        <v>38</v>
      </c>
      <c r="C2" s="3">
        <v>0.3</v>
      </c>
    </row>
    <row r="3" spans="1:20" ht="18" x14ac:dyDescent="0.35">
      <c r="A3" s="3" t="s">
        <v>2</v>
      </c>
      <c r="B3" s="3" t="s">
        <v>39</v>
      </c>
      <c r="C3" s="3">
        <v>0.8</v>
      </c>
    </row>
    <row r="4" spans="1:20" ht="18" x14ac:dyDescent="0.35">
      <c r="A4" s="3" t="s">
        <v>3</v>
      </c>
      <c r="B4" s="3" t="s">
        <v>40</v>
      </c>
      <c r="C4" s="3">
        <v>0.3</v>
      </c>
    </row>
    <row r="5" spans="1:20" ht="18" x14ac:dyDescent="0.35">
      <c r="A5" s="3" t="s">
        <v>4</v>
      </c>
      <c r="B5" s="3" t="s">
        <v>41</v>
      </c>
      <c r="C5" s="3">
        <v>0.2</v>
      </c>
    </row>
    <row r="6" spans="1:20" ht="18" x14ac:dyDescent="0.35">
      <c r="A6" s="3" t="s">
        <v>5</v>
      </c>
      <c r="B6" s="3" t="s">
        <v>42</v>
      </c>
      <c r="C6" s="3">
        <v>0.3</v>
      </c>
    </row>
    <row r="7" spans="1:20" ht="18" x14ac:dyDescent="0.35">
      <c r="A7" s="3" t="s">
        <v>6</v>
      </c>
      <c r="B7" s="3" t="s">
        <v>43</v>
      </c>
      <c r="C7" s="3">
        <v>0.2</v>
      </c>
    </row>
    <row r="8" spans="1:20" ht="18" x14ac:dyDescent="0.35">
      <c r="A8" s="3" t="s">
        <v>7</v>
      </c>
      <c r="B8" s="3" t="s">
        <v>44</v>
      </c>
      <c r="C8" s="3">
        <v>0.1</v>
      </c>
    </row>
    <row r="9" spans="1:20" ht="18" x14ac:dyDescent="0.35">
      <c r="A9" s="3" t="s">
        <v>8</v>
      </c>
      <c r="B9" s="3" t="s">
        <v>45</v>
      </c>
      <c r="C9" s="3">
        <v>1.3</v>
      </c>
    </row>
    <row r="10" spans="1:20" x14ac:dyDescent="0.25">
      <c r="A10" s="22"/>
      <c r="B10" s="22"/>
      <c r="C10" s="22"/>
    </row>
    <row r="12" spans="1:20" ht="63.75" x14ac:dyDescent="0.35">
      <c r="A12" s="4" t="s">
        <v>9</v>
      </c>
      <c r="B12" s="5" t="s">
        <v>13</v>
      </c>
      <c r="C12" s="5" t="s">
        <v>14</v>
      </c>
      <c r="D12" s="19" t="s">
        <v>15</v>
      </c>
      <c r="E12" s="4" t="s">
        <v>10</v>
      </c>
      <c r="F12" s="4" t="s">
        <v>11</v>
      </c>
      <c r="G12" s="4" t="s">
        <v>12</v>
      </c>
      <c r="H12" s="5" t="s">
        <v>19</v>
      </c>
      <c r="L12" s="2" t="s">
        <v>22</v>
      </c>
      <c r="M12" s="5" t="s">
        <v>20</v>
      </c>
      <c r="N12" s="5" t="s">
        <v>17</v>
      </c>
      <c r="O12" s="5" t="s">
        <v>21</v>
      </c>
      <c r="P12" s="5" t="s">
        <v>47</v>
      </c>
      <c r="Q12" s="5" t="s">
        <v>16</v>
      </c>
      <c r="R12" s="5" t="s">
        <v>48</v>
      </c>
      <c r="S12" s="5" t="s">
        <v>18</v>
      </c>
      <c r="T12" s="5" t="s">
        <v>132</v>
      </c>
    </row>
    <row r="13" spans="1:20" x14ac:dyDescent="0.25">
      <c r="A13" s="49" t="s">
        <v>110</v>
      </c>
      <c r="B13" s="50"/>
      <c r="C13" s="50"/>
      <c r="D13" s="50"/>
      <c r="E13" s="50"/>
      <c r="F13" s="50"/>
      <c r="G13" s="50"/>
      <c r="H13" s="51"/>
      <c r="L13" s="33" t="s">
        <v>46</v>
      </c>
      <c r="M13" s="34">
        <v>1.6763999999999999</v>
      </c>
      <c r="N13" s="34">
        <v>5.5625999999999998</v>
      </c>
      <c r="O13" s="37">
        <f t="shared" ref="O13" si="0">M13+0.0254</f>
        <v>1.7018</v>
      </c>
      <c r="P13" s="37">
        <f t="shared" ref="P13" si="1">PI()*(O13*O13-M13*M13)/4</f>
        <v>6.7392094719967474E-2</v>
      </c>
      <c r="Q13" s="37">
        <f t="shared" ref="Q13" si="2">P13*N13</f>
        <v>0.37487526608929106</v>
      </c>
      <c r="R13" s="35">
        <v>8000</v>
      </c>
      <c r="S13" s="34">
        <f t="shared" ref="S13" si="3">R13*Q13</f>
        <v>2999.0021287143286</v>
      </c>
      <c r="T13" s="6"/>
    </row>
    <row r="14" spans="1:20" x14ac:dyDescent="0.25">
      <c r="A14" s="6" t="s">
        <v>113</v>
      </c>
      <c r="B14" s="6" t="s">
        <v>111</v>
      </c>
      <c r="C14" s="6" t="s">
        <v>112</v>
      </c>
      <c r="D14" s="9">
        <v>1653.1990499999999</v>
      </c>
      <c r="E14" s="8">
        <v>580000</v>
      </c>
      <c r="F14" s="8">
        <v>20000</v>
      </c>
      <c r="G14" s="9">
        <v>0.6</v>
      </c>
      <c r="H14" s="9">
        <f t="shared" ref="H14" si="4">(E14+(F14*(D14^G14)))/1000000</f>
        <v>2.2861809314037442</v>
      </c>
      <c r="L14" s="33" t="s">
        <v>115</v>
      </c>
      <c r="M14" s="34">
        <v>1.524</v>
      </c>
      <c r="N14" s="34">
        <v>4.4196</v>
      </c>
      <c r="O14" s="37">
        <f t="shared" ref="O14" si="5">M14+0.0254</f>
        <v>1.5494000000000001</v>
      </c>
      <c r="P14" s="37">
        <f t="shared" ref="P14" si="6">PI()*(O14*O14-M14*M14)/4</f>
        <v>6.1311604970797184E-2</v>
      </c>
      <c r="Q14" s="37">
        <f t="shared" ref="Q14" si="7">P14*N14</f>
        <v>0.27097276932893521</v>
      </c>
      <c r="R14" s="35">
        <v>8000</v>
      </c>
      <c r="S14" s="34">
        <f t="shared" ref="S14" si="8">R14*Q14</f>
        <v>2167.7821546314817</v>
      </c>
      <c r="T14" s="6"/>
    </row>
    <row r="15" spans="1:20" x14ac:dyDescent="0.25">
      <c r="A15" s="6" t="s">
        <v>114</v>
      </c>
      <c r="B15" s="6" t="s">
        <v>111</v>
      </c>
      <c r="C15" s="6" t="s">
        <v>112</v>
      </c>
      <c r="D15" s="9">
        <v>625.07709599999998</v>
      </c>
      <c r="E15" s="8">
        <v>580000</v>
      </c>
      <c r="F15" s="8">
        <v>20000</v>
      </c>
      <c r="G15" s="9">
        <v>0.6</v>
      </c>
      <c r="H15" s="9">
        <f t="shared" ref="H15" si="9">(E15+(F15*(D15^G15)))/1000000</f>
        <v>1.531897414390015</v>
      </c>
      <c r="L15" s="33" t="s">
        <v>89</v>
      </c>
      <c r="M15" s="34">
        <v>1.6763999999999999</v>
      </c>
      <c r="N15" s="34">
        <v>5.5625999999999998</v>
      </c>
      <c r="O15" s="37">
        <f t="shared" ref="O15:O16" si="10">M15+0.0254</f>
        <v>1.7018</v>
      </c>
      <c r="P15" s="37">
        <f t="shared" ref="P15:P16" si="11">PI()*(O15*O15-M15*M15)/4</f>
        <v>6.7392094719967474E-2</v>
      </c>
      <c r="Q15" s="37">
        <f t="shared" ref="Q15:Q16" si="12">P15*N15</f>
        <v>0.37487526608929106</v>
      </c>
      <c r="R15" s="35">
        <v>8000</v>
      </c>
      <c r="S15" s="34">
        <f t="shared" ref="S15:S16" si="13">R15*Q15</f>
        <v>2999.0021287143286</v>
      </c>
      <c r="T15" s="6"/>
    </row>
    <row r="16" spans="1:20" x14ac:dyDescent="0.25">
      <c r="A16" s="49" t="s">
        <v>87</v>
      </c>
      <c r="B16" s="50"/>
      <c r="C16" s="50"/>
      <c r="D16" s="50"/>
      <c r="E16" s="50"/>
      <c r="F16" s="50"/>
      <c r="G16" s="50"/>
      <c r="H16" s="51"/>
      <c r="L16" s="33" t="s">
        <v>125</v>
      </c>
      <c r="M16" s="34">
        <v>1.272553914</v>
      </c>
      <c r="N16" s="34">
        <v>3.048</v>
      </c>
      <c r="O16" s="37">
        <f t="shared" si="10"/>
        <v>1.297953914</v>
      </c>
      <c r="P16" s="37">
        <f t="shared" si="11"/>
        <v>5.1279352028593246E-2</v>
      </c>
      <c r="Q16" s="37">
        <f t="shared" si="12"/>
        <v>0.15629946498315223</v>
      </c>
      <c r="R16" s="35">
        <v>8000</v>
      </c>
      <c r="S16" s="34">
        <f t="shared" si="13"/>
        <v>1250.3957198652179</v>
      </c>
      <c r="T16" s="47">
        <v>5</v>
      </c>
    </row>
    <row r="17" spans="1:10" x14ac:dyDescent="0.25">
      <c r="A17" s="6" t="s">
        <v>116</v>
      </c>
      <c r="B17" s="6" t="s">
        <v>49</v>
      </c>
      <c r="C17" s="6" t="s">
        <v>50</v>
      </c>
      <c r="D17" s="21">
        <f>I17/J17</f>
        <v>1.9380851035441599E-2</v>
      </c>
      <c r="E17" s="8">
        <v>28000</v>
      </c>
      <c r="F17" s="8">
        <v>54</v>
      </c>
      <c r="G17" s="9">
        <v>1.2</v>
      </c>
      <c r="H17" s="9">
        <f>(E17+(F17*(D17^G17)))/1000000*J17</f>
        <v>2.8000475599261984E-2</v>
      </c>
      <c r="I17" s="45">
        <v>1.9380851035441599E-2</v>
      </c>
      <c r="J17" s="46">
        <v>1</v>
      </c>
    </row>
    <row r="18" spans="1:10" x14ac:dyDescent="0.25">
      <c r="A18" s="6" t="s">
        <v>117</v>
      </c>
      <c r="B18" s="6" t="s">
        <v>49</v>
      </c>
      <c r="C18" s="6" t="s">
        <v>50</v>
      </c>
      <c r="D18" s="21">
        <f t="shared" ref="D18:D25" si="14">I18/J18</f>
        <v>221.13974704988149</v>
      </c>
      <c r="E18" s="8">
        <v>28000</v>
      </c>
      <c r="F18" s="8">
        <v>54</v>
      </c>
      <c r="G18" s="9">
        <v>1.2</v>
      </c>
      <c r="H18" s="9">
        <f t="shared" ref="H18:H25" si="15">(E18+(F18*(D18^G18)))/1000000*J18</f>
        <v>0.12631110538398332</v>
      </c>
      <c r="I18" s="45">
        <v>442.27949409976299</v>
      </c>
      <c r="J18" s="46">
        <v>2</v>
      </c>
    </row>
    <row r="19" spans="1:10" x14ac:dyDescent="0.25">
      <c r="A19" s="6" t="s">
        <v>118</v>
      </c>
      <c r="B19" s="6" t="s">
        <v>49</v>
      </c>
      <c r="C19" s="6" t="s">
        <v>50</v>
      </c>
      <c r="D19" s="21">
        <f t="shared" si="14"/>
        <v>191.222695633005</v>
      </c>
      <c r="E19" s="8">
        <v>28000</v>
      </c>
      <c r="F19" s="8">
        <v>54</v>
      </c>
      <c r="G19" s="9">
        <v>1.2</v>
      </c>
      <c r="H19" s="9">
        <f t="shared" si="15"/>
        <v>5.7528479401402099E-2</v>
      </c>
      <c r="I19" s="45">
        <v>191.222695633005</v>
      </c>
      <c r="J19" s="46">
        <v>1</v>
      </c>
    </row>
    <row r="20" spans="1:10" x14ac:dyDescent="0.25">
      <c r="A20" s="6" t="s">
        <v>119</v>
      </c>
      <c r="B20" s="6" t="s">
        <v>49</v>
      </c>
      <c r="C20" s="6" t="s">
        <v>50</v>
      </c>
      <c r="D20" s="21">
        <f t="shared" si="14"/>
        <v>20.1545566081512</v>
      </c>
      <c r="E20" s="8">
        <v>28000</v>
      </c>
      <c r="F20" s="8">
        <v>54</v>
      </c>
      <c r="G20" s="9">
        <v>1.2</v>
      </c>
      <c r="H20" s="9">
        <f t="shared" si="15"/>
        <v>2.9984456839607477E-2</v>
      </c>
      <c r="I20" s="45">
        <v>20.1545566081512</v>
      </c>
      <c r="J20" s="46">
        <v>1</v>
      </c>
    </row>
    <row r="21" spans="1:10" x14ac:dyDescent="0.25">
      <c r="A21" s="6" t="s">
        <v>120</v>
      </c>
      <c r="B21" s="6" t="s">
        <v>49</v>
      </c>
      <c r="C21" s="6" t="s">
        <v>50</v>
      </c>
      <c r="D21" s="21">
        <f t="shared" si="14"/>
        <v>467.47944031255003</v>
      </c>
      <c r="E21" s="8">
        <v>28000</v>
      </c>
      <c r="F21" s="8">
        <v>54</v>
      </c>
      <c r="G21" s="9">
        <v>1.2</v>
      </c>
      <c r="H21" s="9">
        <f t="shared" si="15"/>
        <v>0.80023630835684201</v>
      </c>
      <c r="I21" s="45">
        <v>3272.35608218785</v>
      </c>
      <c r="J21" s="46">
        <v>7</v>
      </c>
    </row>
    <row r="22" spans="1:10" x14ac:dyDescent="0.25">
      <c r="A22" s="6" t="s">
        <v>121</v>
      </c>
      <c r="B22" s="6" t="s">
        <v>49</v>
      </c>
      <c r="C22" s="6" t="s">
        <v>50</v>
      </c>
      <c r="D22" s="21">
        <f t="shared" si="14"/>
        <v>430.31366353779703</v>
      </c>
      <c r="E22" s="8">
        <v>28000</v>
      </c>
      <c r="F22" s="8">
        <v>54</v>
      </c>
      <c r="G22" s="9">
        <v>1.2</v>
      </c>
      <c r="H22" s="9">
        <f t="shared" si="15"/>
        <v>0.10615124901437613</v>
      </c>
      <c r="I22" s="45">
        <v>430.31366353779703</v>
      </c>
      <c r="J22" s="46">
        <v>1</v>
      </c>
    </row>
    <row r="23" spans="1:10" x14ac:dyDescent="0.25">
      <c r="A23" s="6" t="s">
        <v>122</v>
      </c>
      <c r="B23" s="6" t="s">
        <v>49</v>
      </c>
      <c r="C23" s="6" t="s">
        <v>50</v>
      </c>
      <c r="D23" s="21">
        <f t="shared" si="14"/>
        <v>493.60341254616071</v>
      </c>
      <c r="E23" s="8">
        <v>28000</v>
      </c>
      <c r="F23" s="8">
        <v>54</v>
      </c>
      <c r="G23" s="9">
        <v>1.2</v>
      </c>
      <c r="H23" s="9">
        <f t="shared" si="15"/>
        <v>1.8020978874045066</v>
      </c>
      <c r="I23" s="45">
        <v>7404.0511881924103</v>
      </c>
      <c r="J23" s="46">
        <v>15</v>
      </c>
    </row>
    <row r="24" spans="1:10" x14ac:dyDescent="0.25">
      <c r="A24" s="6" t="s">
        <v>123</v>
      </c>
      <c r="B24" s="6" t="s">
        <v>49</v>
      </c>
      <c r="C24" s="6" t="s">
        <v>50</v>
      </c>
      <c r="D24" s="21">
        <f t="shared" si="14"/>
        <v>26.826109109220901</v>
      </c>
      <c r="E24" s="8">
        <v>28000</v>
      </c>
      <c r="F24" s="8">
        <v>54</v>
      </c>
      <c r="G24" s="9">
        <v>1.2</v>
      </c>
      <c r="H24" s="9">
        <f t="shared" si="15"/>
        <v>3.0796810128969229E-2</v>
      </c>
      <c r="I24" s="45">
        <v>26.826109109220901</v>
      </c>
      <c r="J24" s="46">
        <v>1</v>
      </c>
    </row>
    <row r="25" spans="1:10" x14ac:dyDescent="0.25">
      <c r="A25" s="6" t="s">
        <v>124</v>
      </c>
      <c r="B25" s="6" t="s">
        <v>49</v>
      </c>
      <c r="C25" s="6" t="s">
        <v>50</v>
      </c>
      <c r="D25" s="21">
        <f t="shared" si="14"/>
        <v>0.85494336358213197</v>
      </c>
      <c r="E25" s="8">
        <v>28000</v>
      </c>
      <c r="F25" s="8">
        <v>54</v>
      </c>
      <c r="G25" s="9">
        <v>1.2</v>
      </c>
      <c r="H25" s="9">
        <f t="shared" si="15"/>
        <v>2.8044742327708518E-2</v>
      </c>
      <c r="I25" s="45">
        <v>0.85494336358213197</v>
      </c>
      <c r="J25" s="46">
        <v>1</v>
      </c>
    </row>
    <row r="26" spans="1:10" x14ac:dyDescent="0.25">
      <c r="A26" s="52" t="s">
        <v>51</v>
      </c>
      <c r="B26" s="53"/>
      <c r="C26" s="53"/>
      <c r="D26" s="53"/>
      <c r="E26" s="53"/>
      <c r="F26" s="53"/>
      <c r="G26" s="53"/>
      <c r="H26" s="54"/>
    </row>
    <row r="27" spans="1:10" x14ac:dyDescent="0.25">
      <c r="A27" s="7" t="s">
        <v>89</v>
      </c>
      <c r="B27" s="6" t="s">
        <v>88</v>
      </c>
      <c r="C27" s="6" t="s">
        <v>52</v>
      </c>
      <c r="D27" s="9">
        <f>S15</f>
        <v>2999.0021287143286</v>
      </c>
      <c r="E27" s="8">
        <v>17400</v>
      </c>
      <c r="F27" s="8">
        <v>79</v>
      </c>
      <c r="G27" s="9">
        <v>0.85</v>
      </c>
      <c r="H27" s="9">
        <f>(E27+(F27*(D27^G27)))/1000000</f>
        <v>8.8694716961128878E-2</v>
      </c>
    </row>
    <row r="28" spans="1:10" x14ac:dyDescent="0.25">
      <c r="A28" s="49" t="s">
        <v>131</v>
      </c>
      <c r="B28" s="50"/>
      <c r="C28" s="50"/>
      <c r="D28" s="50"/>
      <c r="E28" s="50"/>
      <c r="F28" s="50"/>
      <c r="G28" s="50"/>
      <c r="H28" s="51"/>
    </row>
    <row r="29" spans="1:10" x14ac:dyDescent="0.25">
      <c r="A29" s="6" t="s">
        <v>126</v>
      </c>
      <c r="B29" s="6" t="s">
        <v>127</v>
      </c>
      <c r="C29" s="6" t="s">
        <v>52</v>
      </c>
      <c r="D29" s="9">
        <f>S16</f>
        <v>1250.3957198652179</v>
      </c>
      <c r="E29" s="8">
        <v>17400</v>
      </c>
      <c r="F29" s="8">
        <v>79</v>
      </c>
      <c r="G29" s="9">
        <v>0.85</v>
      </c>
      <c r="H29" s="9">
        <f t="shared" ref="H29" si="16">(E29+(F29*(D29^G29)))/1000000</f>
        <v>5.1293580347064008E-2</v>
      </c>
    </row>
    <row r="30" spans="1:10" x14ac:dyDescent="0.25">
      <c r="A30" s="6" t="s">
        <v>128</v>
      </c>
      <c r="B30" s="6" t="s">
        <v>129</v>
      </c>
      <c r="C30" s="6" t="s">
        <v>130</v>
      </c>
      <c r="D30" s="9">
        <f>M16</f>
        <v>1.272553914</v>
      </c>
      <c r="E30" s="8">
        <v>210</v>
      </c>
      <c r="F30" s="8">
        <v>400</v>
      </c>
      <c r="G30" s="9">
        <v>1.9</v>
      </c>
      <c r="H30" s="9">
        <f>(E30+(F30*(D30^G30)))*T16/1000000</f>
        <v>4.2116570436798147E-3</v>
      </c>
    </row>
    <row r="31" spans="1:10" x14ac:dyDescent="0.25">
      <c r="A31" s="49" t="s">
        <v>90</v>
      </c>
      <c r="B31" s="50"/>
      <c r="C31" s="50"/>
      <c r="D31" s="50"/>
      <c r="E31" s="50"/>
      <c r="F31" s="50"/>
      <c r="G31" s="50"/>
      <c r="H31" s="51"/>
    </row>
    <row r="32" spans="1:10" x14ac:dyDescent="0.25">
      <c r="A32" s="6" t="s">
        <v>46</v>
      </c>
      <c r="B32" s="6" t="s">
        <v>88</v>
      </c>
      <c r="C32" s="6" t="s">
        <v>52</v>
      </c>
      <c r="D32" s="9">
        <f>S13</f>
        <v>2999.0021287143286</v>
      </c>
      <c r="E32" s="8">
        <v>17400</v>
      </c>
      <c r="F32" s="8">
        <v>79</v>
      </c>
      <c r="G32" s="9">
        <v>0.85</v>
      </c>
      <c r="H32" s="9">
        <f>(E32+(F32*(D32^G32)))/1000000</f>
        <v>8.8694716961128878E-2</v>
      </c>
    </row>
    <row r="33" spans="1:14" x14ac:dyDescent="0.25">
      <c r="A33" s="6" t="s">
        <v>115</v>
      </c>
      <c r="B33" s="6" t="s">
        <v>88</v>
      </c>
      <c r="C33" s="6" t="s">
        <v>52</v>
      </c>
      <c r="D33" s="9">
        <f>S14</f>
        <v>2167.7821546314817</v>
      </c>
      <c r="E33" s="8">
        <v>17400</v>
      </c>
      <c r="F33" s="8">
        <v>79</v>
      </c>
      <c r="G33" s="9">
        <v>0.85</v>
      </c>
      <c r="H33" s="9">
        <f t="shared" ref="H33" si="17">(E33+(F33*(D33^G33)))/1000000</f>
        <v>7.1505371404593496E-2</v>
      </c>
    </row>
    <row r="34" spans="1:14" x14ac:dyDescent="0.25">
      <c r="H34" s="38">
        <f>SUM(H14:H33)</f>
        <v>7.1316299029680108</v>
      </c>
    </row>
    <row r="35" spans="1:14" x14ac:dyDescent="0.25">
      <c r="A35" s="24" t="s">
        <v>34</v>
      </c>
      <c r="B35" s="21">
        <v>532.9</v>
      </c>
    </row>
    <row r="36" spans="1:14" x14ac:dyDescent="0.25">
      <c r="A36" s="24" t="s">
        <v>35</v>
      </c>
      <c r="B36" s="21">
        <v>607.5</v>
      </c>
    </row>
    <row r="37" spans="1:14" x14ac:dyDescent="0.25">
      <c r="A37" s="24" t="s">
        <v>91</v>
      </c>
      <c r="B37" s="21">
        <v>816</v>
      </c>
    </row>
    <row r="38" spans="1:14" x14ac:dyDescent="0.25">
      <c r="A38" s="24" t="s">
        <v>53</v>
      </c>
      <c r="B38" s="21">
        <f>H34*B36/B35</f>
        <v>8.129977793306562</v>
      </c>
    </row>
    <row r="39" spans="1:14" x14ac:dyDescent="0.25">
      <c r="A39" s="24" t="s">
        <v>92</v>
      </c>
      <c r="B39" s="21">
        <f>H34*B37/B35</f>
        <v>10.920266468046345</v>
      </c>
    </row>
    <row r="40" spans="1:14" x14ac:dyDescent="0.25">
      <c r="A40" s="39"/>
      <c r="B40" s="32"/>
    </row>
    <row r="41" spans="1:14" x14ac:dyDescent="0.25">
      <c r="B41" s="36">
        <v>2022</v>
      </c>
      <c r="C41" s="31"/>
      <c r="D41"/>
    </row>
    <row r="42" spans="1:14" x14ac:dyDescent="0.25">
      <c r="A42" s="26" t="s">
        <v>54</v>
      </c>
      <c r="B42" s="40">
        <f>(B39)*((1+C3)+(C2+C5+C4+C6+C7+C8)/C9)*C9</f>
        <v>40.841796590493338</v>
      </c>
      <c r="C42" s="31"/>
      <c r="D42"/>
    </row>
    <row r="43" spans="1:14" x14ac:dyDescent="0.25">
      <c r="A43" s="26" t="s">
        <v>55</v>
      </c>
      <c r="B43" s="40">
        <f>0.3*B42</f>
        <v>12.252538977148001</v>
      </c>
      <c r="C43" s="31"/>
      <c r="D43"/>
    </row>
    <row r="44" spans="1:14" x14ac:dyDescent="0.25">
      <c r="A44" s="26" t="s">
        <v>56</v>
      </c>
      <c r="B44" s="40">
        <f>0.3*SUM(B42:B43)</f>
        <v>15.928300670292401</v>
      </c>
      <c r="D44"/>
    </row>
    <row r="45" spans="1:14" x14ac:dyDescent="0.25">
      <c r="A45" s="26" t="s">
        <v>57</v>
      </c>
      <c r="B45" s="40">
        <f>0.1*SUM(B42:B43)</f>
        <v>5.3094335567641338</v>
      </c>
      <c r="D45"/>
    </row>
    <row r="46" spans="1:14" x14ac:dyDescent="0.25">
      <c r="A46" s="26" t="s">
        <v>58</v>
      </c>
      <c r="B46" s="40">
        <f>B42*(1+0.3)*(1+0.3+0.1)</f>
        <v>74.332069794697887</v>
      </c>
      <c r="D46"/>
    </row>
    <row r="47" spans="1:14" x14ac:dyDescent="0.25">
      <c r="A47" s="26" t="s">
        <v>61</v>
      </c>
      <c r="B47" s="40">
        <f>B46*0.15</f>
        <v>11.149810469204683</v>
      </c>
      <c r="D47"/>
    </row>
    <row r="48" spans="1:14" x14ac:dyDescent="0.25">
      <c r="A48" s="26" t="s">
        <v>59</v>
      </c>
      <c r="B48" s="40">
        <f>B46+B47</f>
        <v>85.481880263902568</v>
      </c>
      <c r="D48"/>
      <c r="N48" s="43"/>
    </row>
    <row r="49" spans="1:4" x14ac:dyDescent="0.25">
      <c r="A49" s="26" t="s">
        <v>26</v>
      </c>
      <c r="B49" s="40">
        <v>25</v>
      </c>
      <c r="C49" s="31"/>
      <c r="D49"/>
    </row>
    <row r="50" spans="1:4" x14ac:dyDescent="0.25">
      <c r="A50" s="26" t="s">
        <v>27</v>
      </c>
      <c r="B50" s="40">
        <v>0.12</v>
      </c>
      <c r="C50" s="31"/>
      <c r="D50"/>
    </row>
    <row r="51" spans="1:4" x14ac:dyDescent="0.25">
      <c r="A51" s="26" t="s">
        <v>28</v>
      </c>
      <c r="B51" s="40">
        <f>(B50*((1+B50)^B49))/(((1+B50)^B49)-1)</f>
        <v>0.12749996980950773</v>
      </c>
      <c r="C51" s="31"/>
      <c r="D51"/>
    </row>
    <row r="52" spans="1:4" x14ac:dyDescent="0.25">
      <c r="A52" s="26" t="s">
        <v>60</v>
      </c>
      <c r="B52" s="40">
        <f>B51*B48</f>
        <v>10.898937152907532</v>
      </c>
      <c r="C52" s="31"/>
      <c r="D52"/>
    </row>
    <row r="53" spans="1:4" x14ac:dyDescent="0.25">
      <c r="A53" s="25" t="s">
        <v>36</v>
      </c>
      <c r="B53" s="19">
        <f>B52</f>
        <v>10.898937152907532</v>
      </c>
      <c r="C53" s="31"/>
      <c r="D53"/>
    </row>
    <row r="94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</sheetData>
  <mergeCells count="5">
    <mergeCell ref="A16:H16"/>
    <mergeCell ref="A26:H26"/>
    <mergeCell ref="A31:H31"/>
    <mergeCell ref="A13:H13"/>
    <mergeCell ref="A28:H28"/>
  </mergeCells>
  <conditionalFormatting sqref="I17:I25">
    <cfRule type="cellIs" dxfId="0" priority="3" operator="lessThanOrEqual">
      <formula>1000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20"/>
  <sheetViews>
    <sheetView zoomScale="115" zoomScaleNormal="115" workbookViewId="0">
      <selection activeCell="B25" sqref="B25"/>
    </sheetView>
  </sheetViews>
  <sheetFormatPr defaultRowHeight="15" x14ac:dyDescent="0.25"/>
  <cols>
    <col min="1" max="1" width="15.28515625" customWidth="1"/>
    <col min="2" max="2" width="30.42578125" bestFit="1" customWidth="1"/>
    <col min="3" max="3" width="8.5703125" bestFit="1" customWidth="1"/>
  </cols>
  <sheetData>
    <row r="3" spans="1:3" x14ac:dyDescent="0.25">
      <c r="A3" s="55">
        <v>2022</v>
      </c>
      <c r="B3" s="55"/>
      <c r="C3" s="55"/>
    </row>
    <row r="4" spans="1:3" x14ac:dyDescent="0.25">
      <c r="A4" s="36" t="s">
        <v>64</v>
      </c>
      <c r="B4" s="36" t="s">
        <v>65</v>
      </c>
      <c r="C4" s="13" t="s">
        <v>37</v>
      </c>
    </row>
    <row r="5" spans="1:3" x14ac:dyDescent="0.25">
      <c r="A5" s="55" t="s">
        <v>80</v>
      </c>
      <c r="B5" s="55"/>
      <c r="C5" s="55"/>
    </row>
    <row r="6" spans="1:3" x14ac:dyDescent="0.25">
      <c r="A6" s="10" t="s">
        <v>72</v>
      </c>
      <c r="B6" s="10" t="s">
        <v>83</v>
      </c>
      <c r="C6" s="10">
        <f>50000*9*9/1000000</f>
        <v>4.05</v>
      </c>
    </row>
    <row r="7" spans="1:3" x14ac:dyDescent="0.25">
      <c r="A7" s="10" t="s">
        <v>62</v>
      </c>
      <c r="B7" s="10" t="s">
        <v>63</v>
      </c>
      <c r="C7" s="21">
        <f>0.25*C6</f>
        <v>1.0125</v>
      </c>
    </row>
    <row r="8" spans="1:3" x14ac:dyDescent="0.25">
      <c r="A8" s="10" t="s">
        <v>66</v>
      </c>
      <c r="B8" s="10" t="s">
        <v>67</v>
      </c>
      <c r="C8" s="21">
        <f>0.45*(C6+C7)</f>
        <v>2.2781250000000002</v>
      </c>
    </row>
    <row r="9" spans="1:3" x14ac:dyDescent="0.25">
      <c r="A9" s="49"/>
      <c r="B9" s="51"/>
      <c r="C9" s="17">
        <f>SUM(C6:C8)</f>
        <v>7.3406250000000002</v>
      </c>
    </row>
    <row r="10" spans="1:3" x14ac:dyDescent="0.25">
      <c r="A10" s="55" t="s">
        <v>81</v>
      </c>
      <c r="B10" s="55"/>
      <c r="C10" s="55"/>
    </row>
    <row r="11" spans="1:3" x14ac:dyDescent="0.25">
      <c r="A11" s="10" t="s">
        <v>68</v>
      </c>
      <c r="B11" s="10" t="s">
        <v>69</v>
      </c>
      <c r="C11" s="23">
        <f>0.03*CAPEX!B42</f>
        <v>1.2252538977148002</v>
      </c>
    </row>
    <row r="12" spans="1:3" x14ac:dyDescent="0.25">
      <c r="A12" s="55"/>
      <c r="B12" s="55"/>
      <c r="C12" s="29">
        <f>C11</f>
        <v>1.2252538977148002</v>
      </c>
    </row>
    <row r="13" spans="1:3" x14ac:dyDescent="0.25">
      <c r="A13" s="49" t="s">
        <v>70</v>
      </c>
      <c r="B13" s="50"/>
      <c r="C13" s="51"/>
    </row>
    <row r="14" spans="1:3" x14ac:dyDescent="0.25">
      <c r="A14" s="10" t="s">
        <v>71</v>
      </c>
      <c r="B14" s="10" t="s">
        <v>73</v>
      </c>
      <c r="C14" s="21">
        <f>0.65*(C6+C7+C8+C11)</f>
        <v>5.5678212835146201</v>
      </c>
    </row>
    <row r="15" spans="1:3" x14ac:dyDescent="0.25">
      <c r="A15" s="10" t="s">
        <v>74</v>
      </c>
      <c r="B15" s="10" t="s">
        <v>76</v>
      </c>
      <c r="C15" s="21">
        <f>0.02*(CAPEX!B42+CAPEX!B43)</f>
        <v>1.0618867113528268</v>
      </c>
    </row>
    <row r="16" spans="1:3" x14ac:dyDescent="0.25">
      <c r="A16" s="55"/>
      <c r="B16" s="55"/>
      <c r="C16" s="29">
        <f>SUM(C14:C15)</f>
        <v>6.6297079948674469</v>
      </c>
    </row>
    <row r="17" spans="1:3" x14ac:dyDescent="0.25">
      <c r="A17" s="49" t="s">
        <v>77</v>
      </c>
      <c r="B17" s="50"/>
      <c r="C17" s="51"/>
    </row>
    <row r="18" spans="1:3" x14ac:dyDescent="0.25">
      <c r="A18" s="10" t="s">
        <v>78</v>
      </c>
      <c r="B18" s="10" t="s">
        <v>79</v>
      </c>
      <c r="C18" s="23">
        <f>0.06*CAPEX!B47</f>
        <v>0.66898862815228088</v>
      </c>
    </row>
    <row r="19" spans="1:3" x14ac:dyDescent="0.25">
      <c r="A19" s="55"/>
      <c r="B19" s="55"/>
      <c r="C19" s="17">
        <f>C18</f>
        <v>0.66898862815228088</v>
      </c>
    </row>
    <row r="20" spans="1:3" x14ac:dyDescent="0.25">
      <c r="A20" s="49" t="s">
        <v>82</v>
      </c>
      <c r="B20" s="51"/>
      <c r="C20" s="17">
        <f>C9+C12+C16+C19</f>
        <v>15.864575520734528</v>
      </c>
    </row>
  </sheetData>
  <mergeCells count="10">
    <mergeCell ref="A3:C3"/>
    <mergeCell ref="A5:C5"/>
    <mergeCell ref="A9:B9"/>
    <mergeCell ref="A10:C10"/>
    <mergeCell ref="A20:B20"/>
    <mergeCell ref="A12:B12"/>
    <mergeCell ref="A13:C13"/>
    <mergeCell ref="A16:B16"/>
    <mergeCell ref="A17:C17"/>
    <mergeCell ref="A19:B1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F19"/>
  <sheetViews>
    <sheetView zoomScale="145" zoomScaleNormal="145" workbookViewId="0">
      <selection activeCell="E26" sqref="E26"/>
    </sheetView>
  </sheetViews>
  <sheetFormatPr defaultColWidth="8.85546875" defaultRowHeight="15" x14ac:dyDescent="0.25"/>
  <cols>
    <col min="1" max="1" width="8.85546875" style="11"/>
    <col min="2" max="2" width="21.42578125" style="11" bestFit="1" customWidth="1"/>
    <col min="3" max="3" width="8.5703125" style="11" bestFit="1" customWidth="1"/>
    <col min="4" max="4" width="8.7109375" style="11" bestFit="1" customWidth="1"/>
    <col min="5" max="5" width="17.42578125" style="11" bestFit="1" customWidth="1"/>
    <col min="6" max="6" width="10" style="11" bestFit="1" customWidth="1"/>
    <col min="7" max="16384" width="8.85546875" style="11"/>
  </cols>
  <sheetData>
    <row r="2" spans="2:6" x14ac:dyDescent="0.25">
      <c r="B2" s="1"/>
    </row>
    <row r="3" spans="2:6" x14ac:dyDescent="0.25">
      <c r="B3" s="13" t="s">
        <v>23</v>
      </c>
      <c r="C3" s="13" t="s">
        <v>29</v>
      </c>
      <c r="D3" s="13" t="s">
        <v>30</v>
      </c>
      <c r="E3" s="13" t="s">
        <v>105</v>
      </c>
      <c r="F3" s="13" t="s">
        <v>101</v>
      </c>
    </row>
    <row r="4" spans="2:6" x14ac:dyDescent="0.25">
      <c r="B4" s="49" t="s">
        <v>102</v>
      </c>
      <c r="C4" s="50"/>
      <c r="D4" s="50"/>
      <c r="E4" s="50"/>
      <c r="F4" s="50"/>
    </row>
    <row r="5" spans="2:6" x14ac:dyDescent="0.25">
      <c r="B5" s="12" t="s">
        <v>99</v>
      </c>
      <c r="C5" s="12" t="s">
        <v>31</v>
      </c>
      <c r="D5" s="23">
        <v>0</v>
      </c>
      <c r="E5" s="42">
        <v>0</v>
      </c>
      <c r="F5" s="42">
        <f>D5*E5</f>
        <v>0</v>
      </c>
    </row>
    <row r="6" spans="2:6" x14ac:dyDescent="0.25">
      <c r="B6" s="12" t="s">
        <v>100</v>
      </c>
      <c r="C6" s="12" t="s">
        <v>31</v>
      </c>
      <c r="D6" s="27">
        <f>34486.884/1000</f>
        <v>34.486883999999996</v>
      </c>
      <c r="E6" s="42">
        <v>728.17</v>
      </c>
      <c r="F6" s="42">
        <f>D6*E6</f>
        <v>25112.314322279995</v>
      </c>
    </row>
    <row r="7" spans="2:6" x14ac:dyDescent="0.25">
      <c r="B7" s="41" t="s">
        <v>103</v>
      </c>
      <c r="C7" s="12" t="s">
        <v>31</v>
      </c>
      <c r="D7" s="27">
        <f>34486.884/1000</f>
        <v>34.486883999999996</v>
      </c>
      <c r="E7" s="42">
        <v>1366.03</v>
      </c>
      <c r="F7" s="42">
        <f>D7*E7</f>
        <v>47110.118150519993</v>
      </c>
    </row>
    <row r="8" spans="2:6" x14ac:dyDescent="0.25">
      <c r="B8" s="49" t="s">
        <v>104</v>
      </c>
      <c r="C8" s="50"/>
      <c r="D8" s="50"/>
      <c r="E8" s="50"/>
      <c r="F8" s="50"/>
    </row>
    <row r="9" spans="2:6" x14ac:dyDescent="0.25">
      <c r="B9" s="14" t="s">
        <v>24</v>
      </c>
      <c r="C9" s="14" t="s">
        <v>32</v>
      </c>
      <c r="D9" s="9">
        <f>174924433.423811/10^6</f>
        <v>174.924433423811</v>
      </c>
      <c r="E9" s="48">
        <f>0.38*C19/C18</f>
        <v>0.51041975308641974</v>
      </c>
      <c r="F9" s="42">
        <f>D9*E9</f>
        <v>89.284886116963477</v>
      </c>
    </row>
    <row r="10" spans="2:6" x14ac:dyDescent="0.25">
      <c r="B10" s="10" t="s">
        <v>133</v>
      </c>
      <c r="C10" s="10" t="s">
        <v>32</v>
      </c>
      <c r="D10" s="9">
        <f>19020835.5617579/10^6</f>
        <v>19.020835561757899</v>
      </c>
      <c r="E10" s="48">
        <f>135*C19/C16</f>
        <v>194.11453744493392</v>
      </c>
      <c r="F10" s="42">
        <f>D10*E10</f>
        <v>3692.2206968867845</v>
      </c>
    </row>
    <row r="11" spans="2:6" x14ac:dyDescent="0.25">
      <c r="B11" s="14" t="s">
        <v>25</v>
      </c>
      <c r="C11" s="14" t="s">
        <v>33</v>
      </c>
      <c r="D11" s="31">
        <v>2278.2761460000002</v>
      </c>
      <c r="E11" s="48">
        <f>69.6*C19/C18/1000</f>
        <v>9.3487407407407408E-2</v>
      </c>
      <c r="F11" s="42">
        <f>D11*E11</f>
        <v>212.99013024768001</v>
      </c>
    </row>
    <row r="12" spans="2:6" x14ac:dyDescent="0.25">
      <c r="B12" s="4" t="s">
        <v>106</v>
      </c>
      <c r="C12" s="18" t="s">
        <v>37</v>
      </c>
      <c r="D12" s="16"/>
      <c r="E12" s="19"/>
      <c r="F12" s="19">
        <f>(F5+F6+F9+F10+F11)/1000000*8000</f>
        <v>232.85448028425134</v>
      </c>
    </row>
    <row r="13" spans="2:6" x14ac:dyDescent="0.25">
      <c r="B13" s="36" t="s">
        <v>107</v>
      </c>
      <c r="C13" s="18" t="s">
        <v>37</v>
      </c>
      <c r="D13" s="16"/>
      <c r="E13" s="19"/>
      <c r="F13" s="19">
        <f>(F5+F7+F9+F10+F11)/1000000*8000</f>
        <v>408.8369109101713</v>
      </c>
    </row>
    <row r="14" spans="2:6" x14ac:dyDescent="0.25">
      <c r="B14" s="15"/>
      <c r="C14" s="15"/>
      <c r="D14" s="15"/>
      <c r="E14" s="15"/>
      <c r="F14" s="15"/>
    </row>
    <row r="15" spans="2:6" x14ac:dyDescent="0.25">
      <c r="B15" s="28" t="s">
        <v>85</v>
      </c>
      <c r="C15" s="15"/>
      <c r="D15" s="15"/>
      <c r="E15" s="15"/>
      <c r="F15" s="15"/>
    </row>
    <row r="16" spans="2:6" x14ac:dyDescent="0.25">
      <c r="B16" s="14" t="s">
        <v>134</v>
      </c>
      <c r="C16" s="23">
        <v>567.5</v>
      </c>
      <c r="D16" s="15"/>
      <c r="E16" s="15"/>
      <c r="F16" s="15"/>
    </row>
    <row r="17" spans="2:3" x14ac:dyDescent="0.25">
      <c r="B17" s="14" t="s">
        <v>84</v>
      </c>
      <c r="C17" s="23">
        <v>603.1</v>
      </c>
    </row>
    <row r="18" spans="2:3" x14ac:dyDescent="0.25">
      <c r="B18" s="14" t="s">
        <v>35</v>
      </c>
      <c r="C18" s="21">
        <v>607.5</v>
      </c>
    </row>
    <row r="19" spans="2:3" x14ac:dyDescent="0.25">
      <c r="B19" s="24" t="s">
        <v>91</v>
      </c>
      <c r="C19" s="21">
        <v>816</v>
      </c>
    </row>
  </sheetData>
  <mergeCells count="2">
    <mergeCell ref="B4:F4"/>
    <mergeCell ref="B8:F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24"/>
  <sheetViews>
    <sheetView tabSelected="1" zoomScaleNormal="100" workbookViewId="0">
      <selection activeCell="D29" sqref="D29"/>
    </sheetView>
  </sheetViews>
  <sheetFormatPr defaultRowHeight="15" x14ac:dyDescent="0.25"/>
  <cols>
    <col min="2" max="2" width="39.140625" bestFit="1" customWidth="1"/>
    <col min="3" max="3" width="8.5703125" bestFit="1" customWidth="1"/>
    <col min="5" max="5" width="39.140625" bestFit="1" customWidth="1"/>
    <col min="6" max="6" width="8.5703125" bestFit="1" customWidth="1"/>
  </cols>
  <sheetData>
    <row r="2" spans="2:6" x14ac:dyDescent="0.25">
      <c r="B2" s="55" t="s">
        <v>98</v>
      </c>
      <c r="C2" s="55"/>
      <c r="E2" s="55" t="s">
        <v>108</v>
      </c>
      <c r="F2" s="55"/>
    </row>
    <row r="3" spans="2:6" x14ac:dyDescent="0.25">
      <c r="B3" s="10" t="s">
        <v>93</v>
      </c>
      <c r="C3" s="21">
        <f>CAPEX!B39</f>
        <v>10.920266468046345</v>
      </c>
      <c r="E3" s="10" t="s">
        <v>93</v>
      </c>
      <c r="F3" s="21">
        <f t="shared" ref="F3:F18" si="0">C3</f>
        <v>10.920266468046345</v>
      </c>
    </row>
    <row r="4" spans="2:6" x14ac:dyDescent="0.25">
      <c r="B4" s="26" t="s">
        <v>54</v>
      </c>
      <c r="C4" s="21">
        <f>CAPEX!B42</f>
        <v>40.841796590493338</v>
      </c>
      <c r="E4" s="26" t="s">
        <v>54</v>
      </c>
      <c r="F4" s="21">
        <f t="shared" si="0"/>
        <v>40.841796590493338</v>
      </c>
    </row>
    <row r="5" spans="2:6" x14ac:dyDescent="0.25">
      <c r="B5" s="26" t="s">
        <v>55</v>
      </c>
      <c r="C5" s="21">
        <f>CAPEX!B43</f>
        <v>12.252538977148001</v>
      </c>
      <c r="E5" s="26" t="s">
        <v>55</v>
      </c>
      <c r="F5" s="21">
        <f t="shared" si="0"/>
        <v>12.252538977148001</v>
      </c>
    </row>
    <row r="6" spans="2:6" x14ac:dyDescent="0.25">
      <c r="B6" s="26" t="s">
        <v>75</v>
      </c>
      <c r="C6" s="21">
        <f>CAPEX!B44</f>
        <v>15.928300670292401</v>
      </c>
      <c r="E6" s="26" t="s">
        <v>75</v>
      </c>
      <c r="F6" s="21">
        <f t="shared" si="0"/>
        <v>15.928300670292401</v>
      </c>
    </row>
    <row r="7" spans="2:6" x14ac:dyDescent="0.25">
      <c r="B7" s="26" t="s">
        <v>57</v>
      </c>
      <c r="C7" s="21">
        <f>CAPEX!B45</f>
        <v>5.3094335567641338</v>
      </c>
      <c r="E7" s="26" t="s">
        <v>57</v>
      </c>
      <c r="F7" s="21">
        <f t="shared" si="0"/>
        <v>5.3094335567641338</v>
      </c>
    </row>
    <row r="8" spans="2:6" x14ac:dyDescent="0.25">
      <c r="B8" s="26" t="s">
        <v>58</v>
      </c>
      <c r="C8" s="21">
        <f>CAPEX!B46</f>
        <v>74.332069794697887</v>
      </c>
      <c r="E8" s="26" t="s">
        <v>58</v>
      </c>
      <c r="F8" s="21">
        <f t="shared" si="0"/>
        <v>74.332069794697887</v>
      </c>
    </row>
    <row r="9" spans="2:6" x14ac:dyDescent="0.25">
      <c r="B9" s="26" t="s">
        <v>61</v>
      </c>
      <c r="C9" s="21">
        <f>CAPEX!B47</f>
        <v>11.149810469204683</v>
      </c>
      <c r="E9" s="26" t="s">
        <v>61</v>
      </c>
      <c r="F9" s="21">
        <f t="shared" si="0"/>
        <v>11.149810469204683</v>
      </c>
    </row>
    <row r="10" spans="2:6" x14ac:dyDescent="0.25">
      <c r="B10" s="10" t="s">
        <v>59</v>
      </c>
      <c r="C10" s="21">
        <f>CAPEX!B48</f>
        <v>85.481880263902568</v>
      </c>
      <c r="E10" s="10" t="s">
        <v>59</v>
      </c>
      <c r="F10" s="21">
        <f t="shared" si="0"/>
        <v>85.481880263902568</v>
      </c>
    </row>
    <row r="11" spans="2:6" x14ac:dyDescent="0.25">
      <c r="B11" s="10" t="s">
        <v>80</v>
      </c>
      <c r="C11" s="21">
        <f>SUM('Production costs'!B9)</f>
        <v>0</v>
      </c>
      <c r="E11" s="10" t="s">
        <v>80</v>
      </c>
      <c r="F11" s="21">
        <f t="shared" si="0"/>
        <v>0</v>
      </c>
    </row>
    <row r="12" spans="2:6" x14ac:dyDescent="0.25">
      <c r="B12" s="10" t="s">
        <v>81</v>
      </c>
      <c r="C12" s="21">
        <f>SUM('Production costs'!B12)</f>
        <v>0</v>
      </c>
      <c r="E12" s="10" t="s">
        <v>81</v>
      </c>
      <c r="F12" s="21">
        <f t="shared" si="0"/>
        <v>0</v>
      </c>
    </row>
    <row r="13" spans="2:6" x14ac:dyDescent="0.25">
      <c r="B13" s="10" t="s">
        <v>70</v>
      </c>
      <c r="C13" s="21">
        <f>SUM('Production costs'!B16)</f>
        <v>0</v>
      </c>
      <c r="E13" s="10" t="s">
        <v>70</v>
      </c>
      <c r="F13" s="21">
        <f t="shared" si="0"/>
        <v>0</v>
      </c>
    </row>
    <row r="14" spans="2:6" x14ac:dyDescent="0.25">
      <c r="B14" s="10" t="s">
        <v>77</v>
      </c>
      <c r="C14" s="21">
        <f>SUM('Production costs'!B19)</f>
        <v>0</v>
      </c>
      <c r="E14" s="10" t="s">
        <v>77</v>
      </c>
      <c r="F14" s="21">
        <f t="shared" si="0"/>
        <v>0</v>
      </c>
    </row>
    <row r="15" spans="2:6" x14ac:dyDescent="0.25">
      <c r="B15" s="10" t="s">
        <v>26</v>
      </c>
      <c r="C15" s="21">
        <v>25</v>
      </c>
      <c r="E15" s="10" t="s">
        <v>26</v>
      </c>
      <c r="F15" s="21">
        <f t="shared" si="0"/>
        <v>25</v>
      </c>
    </row>
    <row r="16" spans="2:6" x14ac:dyDescent="0.25">
      <c r="B16" s="10" t="s">
        <v>27</v>
      </c>
      <c r="C16" s="21">
        <v>0.12</v>
      </c>
      <c r="E16" s="10" t="s">
        <v>27</v>
      </c>
      <c r="F16" s="21">
        <f t="shared" si="0"/>
        <v>0.12</v>
      </c>
    </row>
    <row r="17" spans="2:6" x14ac:dyDescent="0.25">
      <c r="B17" s="10" t="s">
        <v>28</v>
      </c>
      <c r="C17" s="20">
        <v>0.12749996980950773</v>
      </c>
      <c r="E17" s="10" t="s">
        <v>28</v>
      </c>
      <c r="F17" s="20">
        <f t="shared" si="0"/>
        <v>0.12749996980950773</v>
      </c>
    </row>
    <row r="18" spans="2:6" x14ac:dyDescent="0.25">
      <c r="B18" s="13" t="s">
        <v>36</v>
      </c>
      <c r="C18" s="17">
        <f>CAPEX!B53</f>
        <v>10.898937152907532</v>
      </c>
      <c r="E18" s="13" t="s">
        <v>36</v>
      </c>
      <c r="F18" s="17">
        <f t="shared" si="0"/>
        <v>10.898937152907532</v>
      </c>
    </row>
    <row r="19" spans="2:6" x14ac:dyDescent="0.25">
      <c r="B19" s="13" t="s">
        <v>97</v>
      </c>
      <c r="C19" s="17">
        <v>0</v>
      </c>
      <c r="E19" s="13" t="s">
        <v>97</v>
      </c>
      <c r="F19" s="17">
        <v>0</v>
      </c>
    </row>
    <row r="20" spans="2:6" x14ac:dyDescent="0.25">
      <c r="B20" s="13" t="s">
        <v>86</v>
      </c>
      <c r="C20" s="17">
        <f>OPEX!F12</f>
        <v>232.85448028425134</v>
      </c>
      <c r="E20" s="13" t="s">
        <v>86</v>
      </c>
      <c r="F20" s="17">
        <f>OPEX!F13</f>
        <v>408.8369109101713</v>
      </c>
    </row>
    <row r="21" spans="2:6" x14ac:dyDescent="0.25">
      <c r="B21" s="13" t="s">
        <v>96</v>
      </c>
      <c r="C21" s="17">
        <f>(C18+C19+C20)</f>
        <v>243.75341743715887</v>
      </c>
      <c r="E21" s="13" t="s">
        <v>96</v>
      </c>
      <c r="F21" s="17">
        <f>(F18+F19+F20)</f>
        <v>419.73584806307883</v>
      </c>
    </row>
    <row r="22" spans="2:6" x14ac:dyDescent="0.25">
      <c r="B22" s="13" t="s">
        <v>95</v>
      </c>
      <c r="C22" s="17">
        <f>(C21)*1000000/8000</f>
        <v>30469.177179644859</v>
      </c>
      <c r="E22" s="13" t="s">
        <v>95</v>
      </c>
      <c r="F22" s="17">
        <f>(F21)*1000000/8000</f>
        <v>52466.981007884853</v>
      </c>
    </row>
    <row r="23" spans="2:6" x14ac:dyDescent="0.25">
      <c r="B23" s="28" t="s">
        <v>94</v>
      </c>
      <c r="C23" s="17">
        <v>37499.927281984797</v>
      </c>
      <c r="E23" s="28" t="s">
        <v>94</v>
      </c>
      <c r="F23" s="17">
        <f>C23</f>
        <v>37499.927281984797</v>
      </c>
    </row>
    <row r="24" spans="2:6" x14ac:dyDescent="0.25">
      <c r="B24" s="30" t="s">
        <v>109</v>
      </c>
      <c r="C24" s="44">
        <f>C22/C23</f>
        <v>0.81251296703933729</v>
      </c>
      <c r="E24" s="30" t="s">
        <v>109</v>
      </c>
      <c r="F24" s="44">
        <f>F22/F23</f>
        <v>1.3991222066473266</v>
      </c>
    </row>
  </sheetData>
  <mergeCells count="2">
    <mergeCell ref="B2:C2"/>
    <mergeCell ref="E2:F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CAPEX</vt:lpstr>
      <vt:lpstr>Production costs</vt:lpstr>
      <vt:lpstr>OPEX</vt:lpstr>
      <vt:lpstr>Summary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2025-02-24T17:28:16Z</dcterms:modified>
</cp:coreProperties>
</file>