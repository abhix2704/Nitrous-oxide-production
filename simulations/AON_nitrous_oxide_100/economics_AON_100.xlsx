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anabera\Desktop\Side projects\Nitrous oxide production\simulations\AON_nitrous_oxide_100\"/>
    </mc:Choice>
  </mc:AlternateContent>
  <xr:revisionPtr revIDLastSave="0" documentId="13_ncr:1_{5D12ECA7-8E5D-4FB0-8618-A1DFF14C83DA}" xr6:coauthVersionLast="36" xr6:coauthVersionMax="36" xr10:uidLastSave="{00000000-0000-0000-0000-000000000000}"/>
  <bookViews>
    <workbookView xWindow="0" yWindow="0" windowWidth="17265" windowHeight="5775" activeTab="2" xr2:uid="{00000000-000D-0000-FFFF-FFFF00000000}"/>
  </bookViews>
  <sheets>
    <sheet name="CAPEX" sheetId="7" r:id="rId1"/>
    <sheet name="Production costs" sheetId="12" r:id="rId2"/>
    <sheet name="OPEX" sheetId="8" r:id="rId3"/>
    <sheet name="Summary" sheetId="11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4" i="8" l="1"/>
  <c r="F6" i="8" l="1"/>
  <c r="G6" i="8" l="1"/>
  <c r="J16" i="8" l="1"/>
  <c r="J15" i="8"/>
  <c r="G18" i="11" l="1"/>
  <c r="C18" i="11"/>
  <c r="E9" i="8" l="1"/>
  <c r="E10" i="8"/>
  <c r="L14" i="7" l="1"/>
  <c r="L15" i="7"/>
  <c r="K15" i="7"/>
  <c r="L13" i="7"/>
  <c r="D9" i="8" l="1"/>
  <c r="D7" i="8"/>
  <c r="D6" i="8"/>
  <c r="D19" i="7" l="1"/>
  <c r="H19" i="7" s="1"/>
  <c r="D20" i="7" l="1"/>
  <c r="H20" i="7" s="1"/>
  <c r="D18" i="7"/>
  <c r="H18" i="7" s="1"/>
  <c r="D17" i="7"/>
  <c r="H17" i="7" s="1"/>
  <c r="H15" i="7" l="1"/>
  <c r="M14" i="7" l="1"/>
  <c r="N14" i="7" s="1"/>
  <c r="O14" i="7" s="1"/>
  <c r="Q14" i="7" s="1"/>
  <c r="D25" i="7" s="1"/>
  <c r="H25" i="7" s="1"/>
  <c r="H14" i="7"/>
  <c r="G17" i="11" l="1"/>
  <c r="G16" i="11"/>
  <c r="G15" i="11"/>
  <c r="F10" i="8"/>
  <c r="F5" i="8"/>
  <c r="F7" i="8"/>
  <c r="G7" i="8" s="1"/>
  <c r="F9" i="8" l="1"/>
  <c r="F12" i="8" s="1"/>
  <c r="G20" i="11" s="1"/>
  <c r="F11" i="8" l="1"/>
  <c r="C20" i="11" s="1"/>
  <c r="C21" i="11" s="1"/>
  <c r="C22" i="11" s="1"/>
  <c r="C24" i="11" s="1"/>
  <c r="C14" i="11"/>
  <c r="G14" i="11" s="1"/>
  <c r="C13" i="11"/>
  <c r="G13" i="11" s="1"/>
  <c r="C12" i="11"/>
  <c r="G12" i="11" s="1"/>
  <c r="C11" i="11"/>
  <c r="G11" i="11" s="1"/>
  <c r="C6" i="12"/>
  <c r="C7" i="12" s="1"/>
  <c r="B43" i="7"/>
  <c r="C8" i="12" l="1"/>
  <c r="C9" i="12" s="1"/>
  <c r="M15" i="7" l="1"/>
  <c r="N15" i="7" s="1"/>
  <c r="O15" i="7" s="1"/>
  <c r="Q15" i="7" s="1"/>
  <c r="D22" i="7" l="1"/>
  <c r="H22" i="7" s="1"/>
  <c r="M13" i="7" l="1"/>
  <c r="N13" i="7" s="1"/>
  <c r="O13" i="7" s="1"/>
  <c r="Q13" i="7" s="1"/>
  <c r="D24" i="7" s="1"/>
  <c r="H24" i="7" s="1"/>
  <c r="H26" i="7" s="1"/>
  <c r="B30" i="7" l="1"/>
  <c r="B31" i="7"/>
  <c r="B34" i="7" l="1"/>
  <c r="C3" i="11"/>
  <c r="G3" i="11" s="1"/>
  <c r="B38" i="7" l="1"/>
  <c r="B35" i="7"/>
  <c r="B37" i="7" s="1"/>
  <c r="C7" i="11" s="1"/>
  <c r="G7" i="11" s="1"/>
  <c r="C11" i="12"/>
  <c r="C4" i="11"/>
  <c r="G4" i="11" s="1"/>
  <c r="C15" i="12" l="1"/>
  <c r="B36" i="7"/>
  <c r="C6" i="11" s="1"/>
  <c r="G6" i="11" s="1"/>
  <c r="C5" i="11"/>
  <c r="G5" i="11" s="1"/>
  <c r="C12" i="12"/>
  <c r="C14" i="12"/>
  <c r="C16" i="12" s="1"/>
  <c r="B39" i="7"/>
  <c r="C8" i="11"/>
  <c r="G8" i="11" s="1"/>
  <c r="B40" i="7" l="1"/>
  <c r="C18" i="12"/>
  <c r="C19" i="12" s="1"/>
  <c r="C20" i="12" s="1"/>
  <c r="C9" i="11"/>
  <c r="G9" i="11" s="1"/>
  <c r="C10" i="11" l="1"/>
  <c r="G10" i="11" s="1"/>
  <c r="B44" i="7"/>
  <c r="B45" i="7" s="1"/>
  <c r="G21" i="11" l="1"/>
  <c r="G22" i="11" s="1"/>
  <c r="G24" i="1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Nabera  Abhinandan</author>
  </authors>
  <commentList>
    <comment ref="J4" authorId="0" shapeId="0" xr:uid="{97F20708-4D4B-46F7-B809-311490ED5370}">
      <text>
        <r>
          <rPr>
            <b/>
            <sz val="9"/>
            <color indexed="81"/>
            <rFont val="Tahoma"/>
            <family val="2"/>
          </rPr>
          <t>Nabera  Abhinandan:</t>
        </r>
        <r>
          <rPr>
            <sz val="9"/>
            <color indexed="81"/>
            <rFont val="Tahoma"/>
            <family val="2"/>
          </rPr>
          <t xml:space="preserve">
Green Chem. Nabera et al. 2023
</t>
        </r>
      </text>
    </comment>
    <comment ref="K4" authorId="0" shapeId="0" xr:uid="{A0720D12-5B32-4944-934D-8F7F547BDFE3}">
      <text>
        <r>
          <rPr>
            <b/>
            <sz val="9"/>
            <color indexed="81"/>
            <rFont val="Tahoma"/>
            <family val="2"/>
          </rPr>
          <t>Nabera  Abhinandan:</t>
        </r>
        <r>
          <rPr>
            <sz val="9"/>
            <color indexed="81"/>
            <rFont val="Tahoma"/>
            <family val="2"/>
          </rPr>
          <t xml:space="preserve">
Inflation 10 year average upto 2050. </t>
        </r>
      </text>
    </comment>
    <comment ref="J5" authorId="0" shapeId="0" xr:uid="{626A91E7-0BF6-419F-8417-DE3AC665E4F4}">
      <text>
        <r>
          <rPr>
            <b/>
            <sz val="9"/>
            <color indexed="81"/>
            <rFont val="Tahoma"/>
            <family val="2"/>
          </rPr>
          <t>Nabera  Abhinandan:</t>
        </r>
        <r>
          <rPr>
            <sz val="9"/>
            <color indexed="81"/>
            <rFont val="Tahoma"/>
            <family val="2"/>
          </rPr>
          <t xml:space="preserve">
Green Chem. Nabera et al. 2023
</t>
        </r>
      </text>
    </comment>
    <comment ref="K5" authorId="0" shapeId="0" xr:uid="{0659FC25-5235-48FA-8C77-84F16511F470}">
      <text>
        <r>
          <rPr>
            <b/>
            <sz val="9"/>
            <color indexed="81"/>
            <rFont val="Tahoma"/>
            <family val="2"/>
          </rPr>
          <t>Nabera  Abhinandan:</t>
        </r>
        <r>
          <rPr>
            <sz val="9"/>
            <color indexed="81"/>
            <rFont val="Tahoma"/>
            <family val="2"/>
          </rPr>
          <t xml:space="preserve">
Nabera et al. Green Chemistry 2024</t>
        </r>
      </text>
    </comment>
    <comment ref="B6" authorId="0" shapeId="0" xr:uid="{49307C41-9F71-4226-85ED-224ED93F7486}">
      <text>
        <r>
          <rPr>
            <b/>
            <sz val="9"/>
            <color indexed="81"/>
            <rFont val="Tahoma"/>
            <family val="2"/>
          </rPr>
          <t>Nabera  Abhinandan:</t>
        </r>
        <r>
          <rPr>
            <sz val="9"/>
            <color indexed="81"/>
            <rFont val="Tahoma"/>
            <family val="2"/>
          </rPr>
          <t xml:space="preserve">
Green Chem. Nabera et al. 2023
</t>
        </r>
      </text>
    </comment>
    <comment ref="B7" authorId="0" shapeId="0" xr:uid="{FBA3E712-0900-4F1E-AE81-4FCB3DAF569A}">
      <text>
        <r>
          <rPr>
            <b/>
            <sz val="9"/>
            <color indexed="81"/>
            <rFont val="Tahoma"/>
            <family val="2"/>
          </rPr>
          <t>Nabera  Abhinandan:</t>
        </r>
        <r>
          <rPr>
            <sz val="9"/>
            <color indexed="81"/>
            <rFont val="Tahoma"/>
            <family val="2"/>
          </rPr>
          <t xml:space="preserve">
Green Chem. Nabera et al. 2023
</t>
        </r>
      </text>
    </comment>
    <comment ref="B9" authorId="0" shapeId="0" xr:uid="{47DA3A76-7A22-4762-B8C5-B657AACD9A78}">
      <text>
        <r>
          <rPr>
            <b/>
            <sz val="9"/>
            <color indexed="81"/>
            <rFont val="Tahoma"/>
            <family val="2"/>
          </rPr>
          <t>Nabera  Abhinandan:</t>
        </r>
        <r>
          <rPr>
            <sz val="9"/>
            <color indexed="81"/>
            <rFont val="Tahoma"/>
            <family val="2"/>
          </rPr>
          <t xml:space="preserve">
Green Chem. Nabera et al. 2023
</t>
        </r>
      </text>
    </comment>
    <comment ref="B10" authorId="0" shapeId="0" xr:uid="{2674AD55-1C7A-44FA-8C50-F00840C848FD}">
      <text>
        <r>
          <rPr>
            <b/>
            <sz val="9"/>
            <color indexed="81"/>
            <rFont val="Tahoma"/>
            <family val="2"/>
          </rPr>
          <t>Nabera  Abhinandan:</t>
        </r>
        <r>
          <rPr>
            <sz val="9"/>
            <color indexed="81"/>
            <rFont val="Tahoma"/>
            <family val="2"/>
          </rPr>
          <t xml:space="preserve">
Iasonas et al. ChemSusChem 2019
</t>
        </r>
      </text>
    </comment>
    <comment ref="J10" authorId="0" shapeId="0" xr:uid="{1A9D5FAA-1D82-4F6D-8F64-D061FB2142E8}">
      <text>
        <r>
          <rPr>
            <b/>
            <sz val="9"/>
            <color indexed="81"/>
            <rFont val="Tahoma"/>
            <family val="2"/>
          </rPr>
          <t>Nabera  Abhinandan:</t>
        </r>
        <r>
          <rPr>
            <sz val="9"/>
            <color indexed="81"/>
            <rFont val="Tahoma"/>
            <family val="2"/>
          </rPr>
          <t xml:space="preserve">
Green Chem. Nabera et al. 2023
</t>
        </r>
      </text>
    </comment>
    <comment ref="K10" authorId="0" shapeId="0" xr:uid="{87FDE0C0-98C7-4BDD-8725-EF50953A6439}">
      <text>
        <r>
          <rPr>
            <b/>
            <sz val="9"/>
            <color indexed="81"/>
            <rFont val="Tahoma"/>
            <family val="2"/>
          </rPr>
          <t>Nabera  Abhinandan:</t>
        </r>
        <r>
          <rPr>
            <sz val="9"/>
            <color indexed="81"/>
            <rFont val="Tahoma"/>
            <family val="2"/>
          </rPr>
          <t xml:space="preserve">
Green Chem. Nabera et al. 2023
</t>
        </r>
      </text>
    </comment>
    <comment ref="J11" authorId="0" shapeId="0" xr:uid="{CFD504A9-5A64-46DB-8772-E5A3C0D1CE6B}">
      <text>
        <r>
          <rPr>
            <b/>
            <sz val="9"/>
            <color indexed="81"/>
            <rFont val="Tahoma"/>
            <family val="2"/>
          </rPr>
          <t>Nabera  Abhinandan:</t>
        </r>
        <r>
          <rPr>
            <sz val="9"/>
            <color indexed="81"/>
            <rFont val="Tahoma"/>
            <family val="2"/>
          </rPr>
          <t xml:space="preserve">
Green Chem. Nabera et al. 2023
</t>
        </r>
      </text>
    </comment>
    <comment ref="K11" authorId="0" shapeId="0" xr:uid="{4E7B55D9-A5B7-42A3-AD9F-3537F2C5123D}">
      <text>
        <r>
          <rPr>
            <b/>
            <sz val="9"/>
            <color indexed="81"/>
            <rFont val="Tahoma"/>
            <family val="2"/>
          </rPr>
          <t>Nabera  Abhinandan:</t>
        </r>
        <r>
          <rPr>
            <sz val="9"/>
            <color indexed="81"/>
            <rFont val="Tahoma"/>
            <family val="2"/>
          </rPr>
          <t xml:space="preserve">
Green Chem. Nabera et al. 2023
</t>
        </r>
      </text>
    </comment>
    <comment ref="J15" authorId="0" shapeId="0" xr:uid="{AA14F842-0334-4D84-886D-0EB4CB183246}">
      <text>
        <r>
          <rPr>
            <b/>
            <sz val="9"/>
            <color indexed="81"/>
            <rFont val="Tahoma"/>
            <family val="2"/>
          </rPr>
          <t>Nabera  Abhinandan:</t>
        </r>
        <r>
          <rPr>
            <sz val="9"/>
            <color indexed="81"/>
            <rFont val="Tahoma"/>
            <family val="2"/>
          </rPr>
          <t xml:space="preserve">
Inflation 10 year average upto 2050. 15% lesser than average.
</t>
        </r>
      </text>
    </comment>
    <comment ref="K15" authorId="0" shapeId="0" xr:uid="{767E2AA5-C9A9-430B-95F9-CB9155C475FA}">
      <text>
        <r>
          <rPr>
            <b/>
            <sz val="9"/>
            <color indexed="81"/>
            <rFont val="Tahoma"/>
            <family val="2"/>
          </rPr>
          <t>Nabera  Abhinandan:</t>
        </r>
        <r>
          <rPr>
            <sz val="9"/>
            <color indexed="81"/>
            <rFont val="Tahoma"/>
            <family val="2"/>
          </rPr>
          <t xml:space="preserve">
Green Chem. Nabera et al. 2024</t>
        </r>
      </text>
    </comment>
    <comment ref="J16" authorId="0" shapeId="0" xr:uid="{3D703615-0B1A-4DE1-8F64-39BA3B199E18}">
      <text>
        <r>
          <rPr>
            <b/>
            <sz val="9"/>
            <color indexed="81"/>
            <rFont val="Tahoma"/>
            <family val="2"/>
          </rPr>
          <t>Nabera  Abhinandan:</t>
        </r>
        <r>
          <rPr>
            <sz val="9"/>
            <color indexed="81"/>
            <rFont val="Tahoma"/>
            <family val="2"/>
          </rPr>
          <t xml:space="preserve">
Inflation 10 year average upto 2050. 15% more than average.</t>
        </r>
      </text>
    </comment>
    <comment ref="K16" authorId="0" shapeId="0" xr:uid="{D6D0B1D9-F40D-49B7-9551-4D0F5B723579}">
      <text>
        <r>
          <rPr>
            <b/>
            <sz val="9"/>
            <color indexed="81"/>
            <rFont val="Tahoma"/>
            <family val="2"/>
          </rPr>
          <t>Nabera  Abhinandan:</t>
        </r>
        <r>
          <rPr>
            <sz val="9"/>
            <color indexed="81"/>
            <rFont val="Tahoma"/>
            <family val="2"/>
          </rPr>
          <t xml:space="preserve">
Green Chem. Nabera et al. 2024</t>
        </r>
      </text>
    </comment>
  </commentList>
</comments>
</file>

<file path=xl/sharedStrings.xml><?xml version="1.0" encoding="utf-8"?>
<sst xmlns="http://schemas.openxmlformats.org/spreadsheetml/2006/main" count="190" uniqueCount="125">
  <si>
    <t>Cost factors</t>
  </si>
  <si>
    <t>Equipment erection</t>
  </si>
  <si>
    <t>Piping</t>
  </si>
  <si>
    <t>Instrumentation and control</t>
  </si>
  <si>
    <t>Electrical</t>
  </si>
  <si>
    <t>Civil</t>
  </si>
  <si>
    <t>Structures and buildings</t>
  </si>
  <si>
    <t>Lagging and paint</t>
  </si>
  <si>
    <t>Material factor for 304 SS</t>
  </si>
  <si>
    <t xml:space="preserve">Equipment </t>
  </si>
  <si>
    <t>a</t>
  </si>
  <si>
    <t>b</t>
  </si>
  <si>
    <t>n</t>
  </si>
  <si>
    <t>Equipment approximated as</t>
  </si>
  <si>
    <t>Dimension needed</t>
  </si>
  <si>
    <t>Value</t>
  </si>
  <si>
    <t>Volume</t>
  </si>
  <si>
    <t>h (m)</t>
  </si>
  <si>
    <t>Shell mass (kg)</t>
  </si>
  <si>
    <r>
      <t>Purchased Cost (C</t>
    </r>
    <r>
      <rPr>
        <b/>
        <vertAlign val="subscript"/>
        <sz val="11"/>
        <color theme="1"/>
        <rFont val="Calibri"/>
        <family val="2"/>
        <scheme val="minor"/>
      </rPr>
      <t>e,i,a</t>
    </r>
    <r>
      <rPr>
        <b/>
        <sz val="11"/>
        <color theme="1"/>
        <rFont val="Calibri"/>
        <family val="2"/>
        <scheme val="minor"/>
      </rPr>
      <t>)</t>
    </r>
  </si>
  <si>
    <t>Internal diameter (m)</t>
  </si>
  <si>
    <t>External diameter (m)</t>
  </si>
  <si>
    <t>Equipment</t>
  </si>
  <si>
    <t>Material</t>
  </si>
  <si>
    <t>Cooling water</t>
  </si>
  <si>
    <t>Electricity</t>
  </si>
  <si>
    <t>Project lifetime</t>
  </si>
  <si>
    <t>Interest rate</t>
  </si>
  <si>
    <t>ACCR</t>
  </si>
  <si>
    <t>Unit</t>
  </si>
  <si>
    <t>Quantity</t>
  </si>
  <si>
    <t>ton/hr</t>
  </si>
  <si>
    <t>GJ/hr</t>
  </si>
  <si>
    <t>kWh</t>
  </si>
  <si>
    <t>CEPCI 2010</t>
  </si>
  <si>
    <t>CEPCI 2019</t>
  </si>
  <si>
    <t>CAPEX (M$/year)</t>
  </si>
  <si>
    <t>M$/year</t>
  </si>
  <si>
    <r>
      <t>f</t>
    </r>
    <r>
      <rPr>
        <vertAlign val="subscript"/>
        <sz val="11"/>
        <color theme="1"/>
        <rFont val="Calibri"/>
        <family val="2"/>
        <scheme val="minor"/>
      </rPr>
      <t>er</t>
    </r>
  </si>
  <si>
    <r>
      <t>f</t>
    </r>
    <r>
      <rPr>
        <vertAlign val="subscript"/>
        <sz val="11"/>
        <color theme="1"/>
        <rFont val="Calibri"/>
        <family val="2"/>
        <scheme val="minor"/>
      </rPr>
      <t>p</t>
    </r>
  </si>
  <si>
    <r>
      <t>f</t>
    </r>
    <r>
      <rPr>
        <vertAlign val="subscript"/>
        <sz val="11"/>
        <color theme="1"/>
        <rFont val="Calibri"/>
        <family val="2"/>
        <scheme val="minor"/>
      </rPr>
      <t>i</t>
    </r>
  </si>
  <si>
    <r>
      <t>f</t>
    </r>
    <r>
      <rPr>
        <vertAlign val="subscript"/>
        <sz val="11"/>
        <color theme="1"/>
        <rFont val="Calibri"/>
        <family val="2"/>
        <scheme val="minor"/>
      </rPr>
      <t>el</t>
    </r>
  </si>
  <si>
    <r>
      <t>f</t>
    </r>
    <r>
      <rPr>
        <vertAlign val="subscript"/>
        <sz val="11"/>
        <color theme="1"/>
        <rFont val="Calibri"/>
        <family val="2"/>
        <scheme val="minor"/>
      </rPr>
      <t>c</t>
    </r>
  </si>
  <si>
    <r>
      <t>f</t>
    </r>
    <r>
      <rPr>
        <vertAlign val="subscript"/>
        <sz val="11"/>
        <color theme="1"/>
        <rFont val="Calibri"/>
        <family val="2"/>
        <scheme val="minor"/>
      </rPr>
      <t>s</t>
    </r>
  </si>
  <si>
    <r>
      <t>f</t>
    </r>
    <r>
      <rPr>
        <vertAlign val="subscript"/>
        <sz val="11"/>
        <color theme="1"/>
        <rFont val="Calibri"/>
        <family val="2"/>
        <scheme val="minor"/>
      </rPr>
      <t>l</t>
    </r>
  </si>
  <si>
    <r>
      <t>f</t>
    </r>
    <r>
      <rPr>
        <vertAlign val="subscript"/>
        <sz val="11"/>
        <color theme="1"/>
        <rFont val="Calibri"/>
        <family val="2"/>
        <scheme val="minor"/>
      </rPr>
      <t>m</t>
    </r>
  </si>
  <si>
    <t>V-100</t>
  </si>
  <si>
    <r>
      <t>Area for shell (m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</t>
    </r>
  </si>
  <si>
    <r>
      <t>Density (kg/m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)</t>
    </r>
  </si>
  <si>
    <t>U Tube HEX</t>
  </si>
  <si>
    <t xml:space="preserve">Area </t>
  </si>
  <si>
    <t>Reactors</t>
  </si>
  <si>
    <t>Shell mass, kg</t>
  </si>
  <si>
    <t>Purchased equipment cost 2019</t>
  </si>
  <si>
    <t>Installed capital cost</t>
  </si>
  <si>
    <t>Offsites (OS)</t>
  </si>
  <si>
    <t>Design and Engineering (D&amp;E)</t>
  </si>
  <si>
    <t>Contingency (X)</t>
  </si>
  <si>
    <t>Fixed capital investment</t>
  </si>
  <si>
    <t>Total investment</t>
  </si>
  <si>
    <t>Annualized capital</t>
  </si>
  <si>
    <t>Working capital</t>
  </si>
  <si>
    <t>Supervision</t>
  </si>
  <si>
    <t>25% of operating Labor</t>
  </si>
  <si>
    <t>Description</t>
  </si>
  <si>
    <t>Assumption</t>
  </si>
  <si>
    <t>Direct overhead</t>
  </si>
  <si>
    <t>45% of labor and supervision</t>
  </si>
  <si>
    <t xml:space="preserve">Maintanance </t>
  </si>
  <si>
    <t>3% of the installed capital cost</t>
  </si>
  <si>
    <t>Overhead expenses</t>
  </si>
  <si>
    <t>Plant overhead</t>
  </si>
  <si>
    <t>Operating labor</t>
  </si>
  <si>
    <t>65% of labor and maintanace</t>
  </si>
  <si>
    <t>Tax &amp; Insurance</t>
  </si>
  <si>
    <t>Design and engineering (D&amp;E)</t>
  </si>
  <si>
    <t>2% of installed cost and offsites</t>
  </si>
  <si>
    <t>Interest</t>
  </si>
  <si>
    <t>Interest on debit</t>
  </si>
  <si>
    <t>6% of working capital</t>
  </si>
  <si>
    <t>Labor costs</t>
  </si>
  <si>
    <t>Maintanance costs</t>
  </si>
  <si>
    <t>Total fixed production costs</t>
  </si>
  <si>
    <t>9 shift positions, 9 operators/shift</t>
  </si>
  <si>
    <t>CEPCI 2018</t>
  </si>
  <si>
    <t>Reference Data</t>
  </si>
  <si>
    <t xml:space="preserve">OPEX (M$/year) </t>
  </si>
  <si>
    <t>Heat exchangers</t>
  </si>
  <si>
    <t>Pressure vessel</t>
  </si>
  <si>
    <t>CRV-100</t>
  </si>
  <si>
    <t>Flash separators</t>
  </si>
  <si>
    <t>CEPCI 2022</t>
  </si>
  <si>
    <t>Purchased equipment cost 2022</t>
  </si>
  <si>
    <t>Purchased equipment cost 2022 (M$/year)</t>
  </si>
  <si>
    <t>Total product Produced (kg/hr)</t>
  </si>
  <si>
    <t>Total expenses ($/hr)</t>
  </si>
  <si>
    <t>Total expenses (M$/year)</t>
  </si>
  <si>
    <t>Fixed production costs (M$/year)</t>
  </si>
  <si>
    <t>Fossil ammonia 2022</t>
  </si>
  <si>
    <t>Oxygen</t>
  </si>
  <si>
    <t>Ammonia fossil</t>
  </si>
  <si>
    <t>2022 costs</t>
  </si>
  <si>
    <t>Raw material costs</t>
  </si>
  <si>
    <t>Ammonia wind</t>
  </si>
  <si>
    <t>Utility costs</t>
  </si>
  <si>
    <t>Price 2022 ($/unit)</t>
  </si>
  <si>
    <t>OPEX (fossil ammonia)</t>
  </si>
  <si>
    <t>OPEX (wind ammonia)</t>
  </si>
  <si>
    <t>Wind ammonia 2022</t>
  </si>
  <si>
    <t xml:space="preserve">Cost per kg </t>
  </si>
  <si>
    <t>Compressors</t>
  </si>
  <si>
    <t xml:space="preserve">Centrifugal Compressor </t>
  </si>
  <si>
    <t>Power, kW</t>
  </si>
  <si>
    <t>K-100</t>
  </si>
  <si>
    <t>K-101</t>
  </si>
  <si>
    <t>V-101</t>
  </si>
  <si>
    <t>E-103</t>
  </si>
  <si>
    <t>E-105</t>
  </si>
  <si>
    <t>E-102</t>
  </si>
  <si>
    <t>E-104</t>
  </si>
  <si>
    <t>Ammonia price</t>
  </si>
  <si>
    <t>Fossil</t>
  </si>
  <si>
    <t>Wind</t>
  </si>
  <si>
    <t>Low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</si>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</sst>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1">
    <xf numFmtId="0" fontId="0" fillId="0" borderId="0" xfId="0"/>
    <xf numFmtId="0" fontId="1" fillId="0" borderId="0" xfId="0" applyFont="1"/>
    <xf numFmtId="0" fontId="1" fillId="0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0" fillId="0" borderId="1" xfId="0" applyBorder="1" applyAlignment="1">
      <alignment horizontal="right"/>
    </xf>
    <xf numFmtId="2" fontId="0" fillId="0" borderId="1" xfId="0" applyNumberFormat="1" applyBorder="1" applyAlignment="1">
      <alignment horizontal="right"/>
    </xf>
    <xf numFmtId="0" fontId="0" fillId="0" borderId="1" xfId="0" applyBorder="1"/>
    <xf numFmtId="0" fontId="0" fillId="0" borderId="0" xfId="0" applyFont="1"/>
    <xf numFmtId="0" fontId="0" fillId="0" borderId="1" xfId="0" applyFont="1" applyBorder="1"/>
    <xf numFmtId="0" fontId="1" fillId="0" borderId="1" xfId="0" applyFont="1" applyBorder="1"/>
    <xf numFmtId="0" fontId="0" fillId="0" borderId="1" xfId="0" applyFont="1" applyFill="1" applyBorder="1"/>
    <xf numFmtId="0" fontId="0" fillId="0" borderId="0" xfId="0" applyFont="1" applyBorder="1"/>
    <xf numFmtId="0" fontId="0" fillId="0" borderId="1" xfId="0" applyFont="1" applyBorder="1" applyAlignment="1">
      <alignment horizontal="center"/>
    </xf>
    <xf numFmtId="2" fontId="1" fillId="0" borderId="1" xfId="0" applyNumberFormat="1" applyFont="1" applyBorder="1"/>
    <xf numFmtId="164" fontId="1" fillId="0" borderId="1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164" fontId="0" fillId="0" borderId="1" xfId="0" applyNumberFormat="1" applyBorder="1"/>
    <xf numFmtId="2" fontId="0" fillId="0" borderId="1" xfId="0" applyNumberFormat="1" applyBorder="1"/>
    <xf numFmtId="0" fontId="0" fillId="0" borderId="0" xfId="0" applyFill="1" applyBorder="1" applyAlignment="1">
      <alignment horizontal="center"/>
    </xf>
    <xf numFmtId="2" fontId="0" fillId="0" borderId="1" xfId="0" applyNumberFormat="1" applyFont="1" applyBorder="1"/>
    <xf numFmtId="0" fontId="0" fillId="0" borderId="1" xfId="0" applyFill="1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Font="1" applyBorder="1" applyAlignment="1">
      <alignment horizontal="left"/>
    </xf>
    <xf numFmtId="2" fontId="0" fillId="0" borderId="3" xfId="0" applyNumberFormat="1" applyFont="1" applyBorder="1"/>
    <xf numFmtId="0" fontId="1" fillId="0" borderId="1" xfId="0" applyFont="1" applyFill="1" applyBorder="1"/>
    <xf numFmtId="2" fontId="1" fillId="0" borderId="4" xfId="0" applyNumberFormat="1" applyFont="1" applyBorder="1"/>
    <xf numFmtId="0" fontId="1" fillId="2" borderId="1" xfId="0" applyFont="1" applyFill="1" applyBorder="1" applyAlignment="1">
      <alignment horizontal="center"/>
    </xf>
    <xf numFmtId="2" fontId="0" fillId="0" borderId="0" xfId="0" applyNumberFormat="1" applyAlignment="1">
      <alignment horizontal="right"/>
    </xf>
    <xf numFmtId="2" fontId="0" fillId="0" borderId="0" xfId="0" applyNumberFormat="1" applyBorder="1"/>
    <xf numFmtId="0" fontId="8" fillId="0" borderId="1" xfId="1" applyFont="1" applyBorder="1" applyAlignment="1">
      <alignment horizontal="center"/>
    </xf>
    <xf numFmtId="2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8" fillId="0" borderId="1" xfId="0" applyNumberFormat="1" applyFont="1" applyBorder="1" applyAlignment="1">
      <alignment horizontal="center"/>
    </xf>
    <xf numFmtId="2" fontId="1" fillId="0" borderId="0" xfId="0" applyNumberFormat="1" applyFont="1" applyAlignment="1">
      <alignment horizontal="center"/>
    </xf>
    <xf numFmtId="0" fontId="0" fillId="0" borderId="0" xfId="0" applyFill="1" applyBorder="1" applyAlignment="1">
      <alignment horizontal="left"/>
    </xf>
    <xf numFmtId="2" fontId="0" fillId="0" borderId="1" xfId="0" applyNumberFormat="1" applyFont="1" applyFill="1" applyBorder="1" applyAlignment="1">
      <alignment horizontal="center"/>
    </xf>
    <xf numFmtId="0" fontId="0" fillId="0" borderId="2" xfId="0" applyFont="1" applyBorder="1"/>
    <xf numFmtId="2" fontId="0" fillId="0" borderId="1" xfId="0" applyNumberFormat="1" applyFont="1" applyBorder="1" applyAlignment="1">
      <alignment horizontal="center"/>
    </xf>
    <xf numFmtId="11" fontId="0" fillId="0" borderId="0" xfId="0" applyNumberFormat="1"/>
    <xf numFmtId="165" fontId="1" fillId="2" borderId="1" xfId="0" applyNumberFormat="1" applyFont="1" applyFill="1" applyBorder="1" applyAlignment="1">
      <alignment horizontal="center"/>
    </xf>
    <xf numFmtId="2" fontId="0" fillId="0" borderId="0" xfId="0" applyNumberFormat="1"/>
    <xf numFmtId="0" fontId="4" fillId="0" borderId="0" xfId="1" applyFont="1" applyBorder="1" applyAlignment="1">
      <alignment horizontal="center"/>
    </xf>
    <xf numFmtId="164" fontId="0" fillId="0" borderId="0" xfId="0" applyNumberFormat="1"/>
    <xf numFmtId="0" fontId="1" fillId="0" borderId="1" xfId="0" applyFont="1" applyBorder="1" applyAlignment="1">
      <alignment horizontal="center"/>
    </xf>
    <xf numFmtId="2" fontId="0" fillId="0" borderId="0" xfId="0" applyNumberFormat="1" applyFont="1"/>
    <xf numFmtId="0" fontId="1" fillId="0" borderId="2" xfId="0" applyFont="1" applyBorder="1" applyAlignment="1"/>
    <xf numFmtId="0" fontId="1" fillId="0" borderId="3" xfId="0" applyFont="1" applyBorder="1" applyAlignment="1"/>
    <xf numFmtId="0" fontId="1" fillId="0" borderId="1" xfId="0" applyFont="1" applyBorder="1" applyAlignment="1">
      <alignment horizontal="right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7" fillId="0" borderId="2" xfId="1" applyFont="1" applyBorder="1" applyAlignment="1">
      <alignment horizontal="center"/>
    </xf>
    <xf numFmtId="0" fontId="7" fillId="0" borderId="3" xfId="1" applyFont="1" applyBorder="1" applyAlignment="1">
      <alignment horizontal="center"/>
    </xf>
    <xf numFmtId="0" fontId="7" fillId="0" borderId="4" xfId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0" fillId="2" borderId="1" xfId="0" applyNumberFormat="1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3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3"/>
  <sheetViews>
    <sheetView zoomScale="115" zoomScaleNormal="115" workbookViewId="0">
      <selection activeCell="C14" sqref="C14"/>
    </sheetView>
  </sheetViews>
  <sheetFormatPr defaultRowHeight="15" x14ac:dyDescent="0.25"/>
  <cols>
    <col min="1" max="1" width="27.85546875" bestFit="1" customWidth="1"/>
    <col min="2" max="2" width="21.140625" bestFit="1" customWidth="1"/>
    <col min="3" max="3" width="16.140625" bestFit="1" customWidth="1"/>
    <col min="4" max="4" width="9.5703125" style="31" bestFit="1" customWidth="1"/>
    <col min="5" max="5" width="7.7109375" bestFit="1" customWidth="1"/>
    <col min="6" max="6" width="6.85546875" bestFit="1" customWidth="1"/>
    <col min="7" max="7" width="5.7109375" bestFit="1" customWidth="1"/>
    <col min="8" max="8" width="9.28515625" bestFit="1" customWidth="1"/>
    <col min="10" max="10" width="11.140625" bestFit="1" customWidth="1"/>
    <col min="11" max="11" width="11.5703125" bestFit="1" customWidth="1"/>
    <col min="12" max="12" width="7" bestFit="1" customWidth="1"/>
    <col min="13" max="13" width="9.28515625" bestFit="1" customWidth="1"/>
    <col min="14" max="14" width="9" bestFit="1" customWidth="1"/>
    <col min="15" max="15" width="8.28515625" bestFit="1" customWidth="1"/>
    <col min="16" max="16" width="7.5703125" bestFit="1" customWidth="1"/>
    <col min="17" max="17" width="10.85546875" bestFit="1" customWidth="1"/>
  </cols>
  <sheetData>
    <row r="1" spans="1:17" x14ac:dyDescent="0.25">
      <c r="A1" s="2" t="s">
        <v>0</v>
      </c>
      <c r="B1" s="3"/>
      <c r="C1" s="3"/>
    </row>
    <row r="2" spans="1:17" ht="18" x14ac:dyDescent="0.35">
      <c r="A2" s="3" t="s">
        <v>1</v>
      </c>
      <c r="B2" s="3" t="s">
        <v>38</v>
      </c>
      <c r="C2" s="3">
        <v>0.3</v>
      </c>
    </row>
    <row r="3" spans="1:17" ht="18" x14ac:dyDescent="0.35">
      <c r="A3" s="3" t="s">
        <v>2</v>
      </c>
      <c r="B3" s="3" t="s">
        <v>39</v>
      </c>
      <c r="C3" s="3">
        <v>0.8</v>
      </c>
    </row>
    <row r="4" spans="1:17" ht="18" x14ac:dyDescent="0.35">
      <c r="A4" s="3" t="s">
        <v>3</v>
      </c>
      <c r="B4" s="3" t="s">
        <v>40</v>
      </c>
      <c r="C4" s="3">
        <v>0.3</v>
      </c>
    </row>
    <row r="5" spans="1:17" ht="18" x14ac:dyDescent="0.35">
      <c r="A5" s="3" t="s">
        <v>4</v>
      </c>
      <c r="B5" s="3" t="s">
        <v>41</v>
      </c>
      <c r="C5" s="3">
        <v>0.2</v>
      </c>
    </row>
    <row r="6" spans="1:17" ht="18" x14ac:dyDescent="0.35">
      <c r="A6" s="3" t="s">
        <v>5</v>
      </c>
      <c r="B6" s="3" t="s">
        <v>42</v>
      </c>
      <c r="C6" s="3">
        <v>0.3</v>
      </c>
    </row>
    <row r="7" spans="1:17" ht="18" x14ac:dyDescent="0.35">
      <c r="A7" s="3" t="s">
        <v>6</v>
      </c>
      <c r="B7" s="3" t="s">
        <v>43</v>
      </c>
      <c r="C7" s="3">
        <v>0.2</v>
      </c>
    </row>
    <row r="8" spans="1:17" ht="18" x14ac:dyDescent="0.35">
      <c r="A8" s="3" t="s">
        <v>7</v>
      </c>
      <c r="B8" s="3" t="s">
        <v>44</v>
      </c>
      <c r="C8" s="3">
        <v>0.1</v>
      </c>
    </row>
    <row r="9" spans="1:17" ht="18" x14ac:dyDescent="0.35">
      <c r="A9" s="3" t="s">
        <v>8</v>
      </c>
      <c r="B9" s="3" t="s">
        <v>45</v>
      </c>
      <c r="C9" s="3">
        <v>1.3</v>
      </c>
    </row>
    <row r="10" spans="1:17" x14ac:dyDescent="0.25">
      <c r="A10" s="22"/>
      <c r="B10" s="22"/>
      <c r="C10" s="22"/>
    </row>
    <row r="12" spans="1:17" ht="63.75" x14ac:dyDescent="0.35">
      <c r="A12" s="4" t="s">
        <v>9</v>
      </c>
      <c r="B12" s="5" t="s">
        <v>13</v>
      </c>
      <c r="C12" s="5" t="s">
        <v>14</v>
      </c>
      <c r="D12" s="19" t="s">
        <v>15</v>
      </c>
      <c r="E12" s="4" t="s">
        <v>10</v>
      </c>
      <c r="F12" s="4" t="s">
        <v>11</v>
      </c>
      <c r="G12" s="4" t="s">
        <v>12</v>
      </c>
      <c r="H12" s="5" t="s">
        <v>19</v>
      </c>
      <c r="J12" s="2" t="s">
        <v>22</v>
      </c>
      <c r="K12" s="5" t="s">
        <v>20</v>
      </c>
      <c r="L12" s="5" t="s">
        <v>17</v>
      </c>
      <c r="M12" s="5" t="s">
        <v>21</v>
      </c>
      <c r="N12" s="5" t="s">
        <v>47</v>
      </c>
      <c r="O12" s="5" t="s">
        <v>16</v>
      </c>
      <c r="P12" s="5" t="s">
        <v>48</v>
      </c>
      <c r="Q12" s="5" t="s">
        <v>18</v>
      </c>
    </row>
    <row r="13" spans="1:17" x14ac:dyDescent="0.25">
      <c r="A13" s="53" t="s">
        <v>110</v>
      </c>
      <c r="B13" s="54"/>
      <c r="C13" s="54"/>
      <c r="D13" s="54"/>
      <c r="E13" s="54"/>
      <c r="F13" s="54"/>
      <c r="G13" s="54"/>
      <c r="H13" s="55"/>
      <c r="J13" s="33" t="s">
        <v>46</v>
      </c>
      <c r="K13" s="34">
        <v>1.6763999999999999</v>
      </c>
      <c r="L13" s="34">
        <f>4.7244+2*0.25*K13</f>
        <v>5.5625999999999998</v>
      </c>
      <c r="M13" s="37">
        <f t="shared" ref="M13" si="0">K13+0.0254</f>
        <v>1.7018</v>
      </c>
      <c r="N13" s="37">
        <f t="shared" ref="N13" si="1">PI()*(M13*M13-K13*K13)/4</f>
        <v>6.7392094719967474E-2</v>
      </c>
      <c r="O13" s="37">
        <f t="shared" ref="O13" si="2">N13*L13</f>
        <v>0.37487526608929106</v>
      </c>
      <c r="P13" s="35">
        <v>8000</v>
      </c>
      <c r="Q13" s="34">
        <f t="shared" ref="Q13" si="3">P13*O13</f>
        <v>2999.0021287143286</v>
      </c>
    </row>
    <row r="14" spans="1:17" x14ac:dyDescent="0.25">
      <c r="A14" s="6" t="s">
        <v>113</v>
      </c>
      <c r="B14" s="6" t="s">
        <v>111</v>
      </c>
      <c r="C14" s="6" t="s">
        <v>112</v>
      </c>
      <c r="D14" s="9">
        <v>1366.50305</v>
      </c>
      <c r="E14" s="8">
        <v>580000</v>
      </c>
      <c r="F14" s="8">
        <v>20000</v>
      </c>
      <c r="G14" s="9">
        <v>0.6</v>
      </c>
      <c r="H14" s="9">
        <f t="shared" ref="H14" si="4">(E14+(F14*(D14^G14)))/1000000</f>
        <v>2.1019358909652586</v>
      </c>
      <c r="J14" s="33" t="s">
        <v>115</v>
      </c>
      <c r="K14" s="34">
        <v>1.3715999999999999</v>
      </c>
      <c r="L14" s="34">
        <f>3.6576+2*0.25*K14</f>
        <v>4.3433999999999999</v>
      </c>
      <c r="M14" s="37">
        <f t="shared" ref="M14" si="5">K14+0.0254</f>
        <v>1.397</v>
      </c>
      <c r="N14" s="37">
        <f t="shared" ref="N14" si="6">PI()*(M14*M14-K14*K14)/4</f>
        <v>5.5231115221627589E-2</v>
      </c>
      <c r="O14" s="37">
        <f t="shared" ref="O14" si="7">N14*L14</f>
        <v>0.23989082585361726</v>
      </c>
      <c r="P14" s="35">
        <v>8000</v>
      </c>
      <c r="Q14" s="34">
        <f t="shared" ref="Q14" si="8">P14*O14</f>
        <v>1919.1266068289381</v>
      </c>
    </row>
    <row r="15" spans="1:17" x14ac:dyDescent="0.25">
      <c r="A15" s="6" t="s">
        <v>114</v>
      </c>
      <c r="B15" s="6" t="s">
        <v>111</v>
      </c>
      <c r="C15" s="6" t="s">
        <v>112</v>
      </c>
      <c r="D15" s="9">
        <v>518.80826500000001</v>
      </c>
      <c r="E15" s="8">
        <v>580000</v>
      </c>
      <c r="F15" s="8">
        <v>20000</v>
      </c>
      <c r="G15" s="9">
        <v>0.6</v>
      </c>
      <c r="H15" s="9">
        <f t="shared" ref="H15" si="9">(E15+(F15*(D15^G15)))/1000000</f>
        <v>1.4312049241659026</v>
      </c>
      <c r="J15" s="33" t="s">
        <v>89</v>
      </c>
      <c r="K15" s="34">
        <f>K13</f>
        <v>1.6763999999999999</v>
      </c>
      <c r="L15" s="34">
        <f>L13</f>
        <v>5.5625999999999998</v>
      </c>
      <c r="M15" s="37">
        <f t="shared" ref="M15" si="10">K15+0.0254</f>
        <v>1.7018</v>
      </c>
      <c r="N15" s="37">
        <f t="shared" ref="N15" si="11">PI()*(M15*M15-K15*K15)/4</f>
        <v>6.7392094719967474E-2</v>
      </c>
      <c r="O15" s="37">
        <f t="shared" ref="O15" si="12">N15*L15</f>
        <v>0.37487526608929106</v>
      </c>
      <c r="P15" s="35">
        <v>8000</v>
      </c>
      <c r="Q15" s="34">
        <f t="shared" ref="Q15" si="13">P15*O15</f>
        <v>2999.0021287143286</v>
      </c>
    </row>
    <row r="16" spans="1:17" x14ac:dyDescent="0.25">
      <c r="A16" s="53" t="s">
        <v>87</v>
      </c>
      <c r="B16" s="54"/>
      <c r="C16" s="54"/>
      <c r="D16" s="54"/>
      <c r="E16" s="54"/>
      <c r="F16" s="54"/>
      <c r="G16" s="54"/>
      <c r="H16" s="55"/>
    </row>
    <row r="17" spans="1:10" x14ac:dyDescent="0.25">
      <c r="A17" s="6" t="s">
        <v>116</v>
      </c>
      <c r="B17" s="6" t="s">
        <v>49</v>
      </c>
      <c r="C17" s="6" t="s">
        <v>50</v>
      </c>
      <c r="D17" s="21">
        <f>I17/J17</f>
        <v>298.77983839278198</v>
      </c>
      <c r="E17" s="8">
        <v>28000</v>
      </c>
      <c r="F17" s="8">
        <v>54</v>
      </c>
      <c r="G17" s="9">
        <v>1.2</v>
      </c>
      <c r="H17" s="9">
        <f>(E17+(F17*(D17^G17)))/1000000*J17</f>
        <v>0.15688934468023433</v>
      </c>
      <c r="I17" s="45">
        <v>597.55967678556397</v>
      </c>
      <c r="J17" s="46">
        <v>2</v>
      </c>
    </row>
    <row r="18" spans="1:10" x14ac:dyDescent="0.25">
      <c r="A18" s="6" t="s">
        <v>117</v>
      </c>
      <c r="B18" s="6" t="s">
        <v>49</v>
      </c>
      <c r="C18" s="6" t="s">
        <v>50</v>
      </c>
      <c r="D18" s="21">
        <f>I18/J18</f>
        <v>499.27777342721697</v>
      </c>
      <c r="E18" s="8">
        <v>28000</v>
      </c>
      <c r="F18" s="8">
        <v>54</v>
      </c>
      <c r="G18" s="9">
        <v>1.2</v>
      </c>
      <c r="H18" s="9">
        <f>(E18+(F18*(D18^G18)))/1000000*J18</f>
        <v>1.5783609451117344</v>
      </c>
      <c r="I18" s="45">
        <v>6490.6110545538204</v>
      </c>
      <c r="J18" s="46">
        <v>13</v>
      </c>
    </row>
    <row r="19" spans="1:10" x14ac:dyDescent="0.25">
      <c r="A19" s="6" t="s">
        <v>118</v>
      </c>
      <c r="B19" s="6" t="s">
        <v>49</v>
      </c>
      <c r="C19" s="6" t="s">
        <v>50</v>
      </c>
      <c r="D19" s="21">
        <f>I19/J19</f>
        <v>419.54921642527501</v>
      </c>
      <c r="E19" s="8">
        <v>28000</v>
      </c>
      <c r="F19" s="8">
        <v>54</v>
      </c>
      <c r="G19" s="9">
        <v>1.2</v>
      </c>
      <c r="H19" s="9">
        <f>(E19+(F19*(D19^G19)))/1000000*J19</f>
        <v>0.83048944072608999</v>
      </c>
      <c r="I19" s="45">
        <v>3356.3937314022</v>
      </c>
      <c r="J19" s="46">
        <v>8</v>
      </c>
    </row>
    <row r="20" spans="1:10" x14ac:dyDescent="0.25">
      <c r="A20" s="6" t="s">
        <v>119</v>
      </c>
      <c r="B20" s="6" t="s">
        <v>49</v>
      </c>
      <c r="C20" s="6" t="s">
        <v>50</v>
      </c>
      <c r="D20" s="21">
        <f>I20/J20</f>
        <v>286.42402459129897</v>
      </c>
      <c r="E20" s="8">
        <v>28000</v>
      </c>
      <c r="F20" s="8">
        <v>54</v>
      </c>
      <c r="G20" s="9">
        <v>1.2</v>
      </c>
      <c r="H20" s="9">
        <f>(E20+(F20*(D20^G20)))/1000000*J20</f>
        <v>7.5951819537075499E-2</v>
      </c>
      <c r="I20" s="45">
        <v>286.42402459129897</v>
      </c>
      <c r="J20" s="46">
        <v>1</v>
      </c>
    </row>
    <row r="21" spans="1:10" x14ac:dyDescent="0.25">
      <c r="A21" s="56" t="s">
        <v>51</v>
      </c>
      <c r="B21" s="57"/>
      <c r="C21" s="57"/>
      <c r="D21" s="57"/>
      <c r="E21" s="57"/>
      <c r="F21" s="57"/>
      <c r="G21" s="57"/>
      <c r="H21" s="58"/>
    </row>
    <row r="22" spans="1:10" x14ac:dyDescent="0.25">
      <c r="A22" s="7" t="s">
        <v>89</v>
      </c>
      <c r="B22" s="6" t="s">
        <v>88</v>
      </c>
      <c r="C22" s="6" t="s">
        <v>52</v>
      </c>
      <c r="D22" s="9">
        <f>Q15</f>
        <v>2999.0021287143286</v>
      </c>
      <c r="E22" s="8">
        <v>17400</v>
      </c>
      <c r="F22" s="8">
        <v>79</v>
      </c>
      <c r="G22" s="9">
        <v>0.85</v>
      </c>
      <c r="H22" s="9">
        <f>(E22+(F22*(D22^G22)))/1000000</f>
        <v>8.8694716961128878E-2</v>
      </c>
    </row>
    <row r="23" spans="1:10" x14ac:dyDescent="0.25">
      <c r="A23" s="53" t="s">
        <v>90</v>
      </c>
      <c r="B23" s="54"/>
      <c r="C23" s="54"/>
      <c r="D23" s="54"/>
      <c r="E23" s="54"/>
      <c r="F23" s="54"/>
      <c r="G23" s="54"/>
      <c r="H23" s="55"/>
    </row>
    <row r="24" spans="1:10" x14ac:dyDescent="0.25">
      <c r="A24" s="6" t="s">
        <v>46</v>
      </c>
      <c r="B24" s="6" t="s">
        <v>88</v>
      </c>
      <c r="C24" s="6" t="s">
        <v>52</v>
      </c>
      <c r="D24" s="9">
        <f>Q13</f>
        <v>2999.0021287143286</v>
      </c>
      <c r="E24" s="8">
        <v>17400</v>
      </c>
      <c r="F24" s="8">
        <v>79</v>
      </c>
      <c r="G24" s="9">
        <v>0.85</v>
      </c>
      <c r="H24" s="9">
        <f>(E24+(F24*(D24^G24)))/1000000</f>
        <v>8.8694716961128878E-2</v>
      </c>
    </row>
    <row r="25" spans="1:10" x14ac:dyDescent="0.25">
      <c r="A25" s="6" t="s">
        <v>115</v>
      </c>
      <c r="B25" s="6" t="s">
        <v>88</v>
      </c>
      <c r="C25" s="6" t="s">
        <v>52</v>
      </c>
      <c r="D25" s="9">
        <f>Q14</f>
        <v>1919.1266068289381</v>
      </c>
      <c r="E25" s="8">
        <v>17400</v>
      </c>
      <c r="F25" s="8">
        <v>79</v>
      </c>
      <c r="G25" s="9">
        <v>0.85</v>
      </c>
      <c r="H25" s="9">
        <f t="shared" ref="H25" si="14">(E25+(F25*(D25^G25)))/1000000</f>
        <v>6.6182625876606713E-2</v>
      </c>
    </row>
    <row r="26" spans="1:10" x14ac:dyDescent="0.25">
      <c r="H26" s="38">
        <f>SUM(H14:H25)</f>
        <v>6.4184044249851606</v>
      </c>
    </row>
    <row r="27" spans="1:10" x14ac:dyDescent="0.25">
      <c r="A27" s="24" t="s">
        <v>34</v>
      </c>
      <c r="B27" s="21">
        <v>532.9</v>
      </c>
    </row>
    <row r="28" spans="1:10" x14ac:dyDescent="0.25">
      <c r="A28" s="24" t="s">
        <v>35</v>
      </c>
      <c r="B28" s="21">
        <v>607.5</v>
      </c>
    </row>
    <row r="29" spans="1:10" x14ac:dyDescent="0.25">
      <c r="A29" s="24" t="s">
        <v>91</v>
      </c>
      <c r="B29" s="21">
        <v>816</v>
      </c>
    </row>
    <row r="30" spans="1:10" x14ac:dyDescent="0.25">
      <c r="A30" s="24" t="s">
        <v>53</v>
      </c>
      <c r="B30" s="21">
        <f>H26*B28/B27</f>
        <v>7.3169087787173677</v>
      </c>
    </row>
    <row r="31" spans="1:10" x14ac:dyDescent="0.25">
      <c r="A31" s="24" t="s">
        <v>92</v>
      </c>
      <c r="B31" s="21">
        <f>H26*B29/B27</f>
        <v>9.8281441373388834</v>
      </c>
    </row>
    <row r="32" spans="1:10" x14ac:dyDescent="0.25">
      <c r="A32" s="39"/>
      <c r="B32" s="32"/>
    </row>
    <row r="33" spans="1:14" x14ac:dyDescent="0.25">
      <c r="B33" s="36">
        <v>2022</v>
      </c>
      <c r="C33" s="31"/>
      <c r="D33"/>
    </row>
    <row r="34" spans="1:14" x14ac:dyDescent="0.25">
      <c r="A34" s="26" t="s">
        <v>54</v>
      </c>
      <c r="B34" s="40">
        <f>(B31)*((1+C3)+(C2+C5+C4+C6+C7+C8)/C9)*C9</f>
        <v>36.757259073647433</v>
      </c>
      <c r="C34" s="31"/>
      <c r="D34"/>
    </row>
    <row r="35" spans="1:14" x14ac:dyDescent="0.25">
      <c r="A35" s="26" t="s">
        <v>55</v>
      </c>
      <c r="B35" s="40">
        <f>0.3*B34</f>
        <v>11.02717772209423</v>
      </c>
      <c r="C35" s="31"/>
      <c r="D35"/>
    </row>
    <row r="36" spans="1:14" x14ac:dyDescent="0.25">
      <c r="A36" s="26" t="s">
        <v>56</v>
      </c>
      <c r="B36" s="40">
        <f>0.3*SUM(B34:B35)</f>
        <v>14.335331038722499</v>
      </c>
      <c r="D36"/>
    </row>
    <row r="37" spans="1:14" x14ac:dyDescent="0.25">
      <c r="A37" s="26" t="s">
        <v>57</v>
      </c>
      <c r="B37" s="40">
        <f>0.1*SUM(B34:B35)</f>
        <v>4.778443679574166</v>
      </c>
      <c r="D37"/>
    </row>
    <row r="38" spans="1:14" x14ac:dyDescent="0.25">
      <c r="A38" s="26" t="s">
        <v>58</v>
      </c>
      <c r="B38" s="40">
        <f>B34*(1+0.3)*(1+0.3+0.1)</f>
        <v>66.898211514038337</v>
      </c>
      <c r="D38"/>
    </row>
    <row r="39" spans="1:14" x14ac:dyDescent="0.25">
      <c r="A39" s="26" t="s">
        <v>61</v>
      </c>
      <c r="B39" s="40">
        <f>B38*0.15</f>
        <v>10.034731727105751</v>
      </c>
      <c r="D39"/>
    </row>
    <row r="40" spans="1:14" x14ac:dyDescent="0.25">
      <c r="A40" s="26" t="s">
        <v>59</v>
      </c>
      <c r="B40" s="40">
        <f>B38+B39</f>
        <v>76.932943241144088</v>
      </c>
      <c r="D40"/>
      <c r="N40" s="43"/>
    </row>
    <row r="41" spans="1:14" x14ac:dyDescent="0.25">
      <c r="A41" s="26" t="s">
        <v>26</v>
      </c>
      <c r="B41" s="40">
        <v>25</v>
      </c>
      <c r="C41" s="31"/>
      <c r="D41"/>
    </row>
    <row r="42" spans="1:14" x14ac:dyDescent="0.25">
      <c r="A42" s="26" t="s">
        <v>27</v>
      </c>
      <c r="B42" s="40">
        <v>0.12</v>
      </c>
      <c r="C42" s="31"/>
      <c r="D42"/>
    </row>
    <row r="43" spans="1:14" x14ac:dyDescent="0.25">
      <c r="A43" s="26" t="s">
        <v>28</v>
      </c>
      <c r="B43" s="40">
        <f>(B42*((1+B42)^B41))/(((1+B42)^B41)-1)</f>
        <v>0.12749996980950773</v>
      </c>
      <c r="C43" s="31"/>
      <c r="D43"/>
    </row>
    <row r="44" spans="1:14" x14ac:dyDescent="0.25">
      <c r="A44" s="26" t="s">
        <v>60</v>
      </c>
      <c r="B44" s="40">
        <f>B43*B40</f>
        <v>9.808947940602442</v>
      </c>
      <c r="C44" s="31"/>
      <c r="D44"/>
    </row>
    <row r="45" spans="1:14" x14ac:dyDescent="0.25">
      <c r="A45" s="25" t="s">
        <v>36</v>
      </c>
      <c r="B45" s="19">
        <f>B44</f>
        <v>9.808947940602442</v>
      </c>
      <c r="C45" s="31"/>
      <c r="D45"/>
    </row>
    <row r="86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</sheetData>
  <mergeCells count="4">
    <mergeCell ref="A16:H16"/>
    <mergeCell ref="A21:H21"/>
    <mergeCell ref="A23:H23"/>
    <mergeCell ref="A13:H13"/>
  </mergeCells>
  <conditionalFormatting sqref="I17">
    <cfRule type="cellIs" dxfId="2" priority="4" operator="lessThanOrEqual">
      <formula>1000</formula>
    </cfRule>
  </conditionalFormatting>
  <conditionalFormatting sqref="I18 I20">
    <cfRule type="cellIs" dxfId="1" priority="2" operator="lessThanOrEqual">
      <formula>1000</formula>
    </cfRule>
  </conditionalFormatting>
  <conditionalFormatting sqref="I19">
    <cfRule type="cellIs" dxfId="0" priority="1" operator="lessThanOrEqual">
      <formula>1000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C20"/>
  <sheetViews>
    <sheetView zoomScale="115" zoomScaleNormal="115" workbookViewId="0">
      <selection activeCell="I14" sqref="I14"/>
    </sheetView>
  </sheetViews>
  <sheetFormatPr defaultRowHeight="15" x14ac:dyDescent="0.25"/>
  <cols>
    <col min="1" max="1" width="15.28515625" customWidth="1"/>
    <col min="2" max="2" width="30.42578125" bestFit="1" customWidth="1"/>
    <col min="3" max="3" width="8.5703125" bestFit="1" customWidth="1"/>
  </cols>
  <sheetData>
    <row r="3" spans="1:3" x14ac:dyDescent="0.25">
      <c r="A3" s="59">
        <v>2022</v>
      </c>
      <c r="B3" s="59"/>
      <c r="C3" s="59"/>
    </row>
    <row r="4" spans="1:3" x14ac:dyDescent="0.25">
      <c r="A4" s="36" t="s">
        <v>64</v>
      </c>
      <c r="B4" s="36" t="s">
        <v>65</v>
      </c>
      <c r="C4" s="13" t="s">
        <v>37</v>
      </c>
    </row>
    <row r="5" spans="1:3" x14ac:dyDescent="0.25">
      <c r="A5" s="59" t="s">
        <v>80</v>
      </c>
      <c r="B5" s="59"/>
      <c r="C5" s="59"/>
    </row>
    <row r="6" spans="1:3" x14ac:dyDescent="0.25">
      <c r="A6" s="10" t="s">
        <v>72</v>
      </c>
      <c r="B6" s="10" t="s">
        <v>83</v>
      </c>
      <c r="C6" s="10">
        <f>50000*9*9/1000000</f>
        <v>4.05</v>
      </c>
    </row>
    <row r="7" spans="1:3" x14ac:dyDescent="0.25">
      <c r="A7" s="10" t="s">
        <v>62</v>
      </c>
      <c r="B7" s="10" t="s">
        <v>63</v>
      </c>
      <c r="C7" s="21">
        <f>0.25*C6</f>
        <v>1.0125</v>
      </c>
    </row>
    <row r="8" spans="1:3" x14ac:dyDescent="0.25">
      <c r="A8" s="10" t="s">
        <v>66</v>
      </c>
      <c r="B8" s="10" t="s">
        <v>67</v>
      </c>
      <c r="C8" s="21">
        <f>0.45*(C6+C7)</f>
        <v>2.2781250000000002</v>
      </c>
    </row>
    <row r="9" spans="1:3" x14ac:dyDescent="0.25">
      <c r="A9" s="53"/>
      <c r="B9" s="55"/>
      <c r="C9" s="17">
        <f>SUM(C6:C8)</f>
        <v>7.3406250000000002</v>
      </c>
    </row>
    <row r="10" spans="1:3" x14ac:dyDescent="0.25">
      <c r="A10" s="59" t="s">
        <v>81</v>
      </c>
      <c r="B10" s="59"/>
      <c r="C10" s="59"/>
    </row>
    <row r="11" spans="1:3" x14ac:dyDescent="0.25">
      <c r="A11" s="10" t="s">
        <v>68</v>
      </c>
      <c r="B11" s="10" t="s">
        <v>69</v>
      </c>
      <c r="C11" s="23">
        <f>0.03*CAPEX!B34</f>
        <v>1.102717772209423</v>
      </c>
    </row>
    <row r="12" spans="1:3" x14ac:dyDescent="0.25">
      <c r="A12" s="59"/>
      <c r="B12" s="59"/>
      <c r="C12" s="29">
        <f>C11</f>
        <v>1.102717772209423</v>
      </c>
    </row>
    <row r="13" spans="1:3" x14ac:dyDescent="0.25">
      <c r="A13" s="53" t="s">
        <v>70</v>
      </c>
      <c r="B13" s="54"/>
      <c r="C13" s="55"/>
    </row>
    <row r="14" spans="1:3" x14ac:dyDescent="0.25">
      <c r="A14" s="10" t="s">
        <v>71</v>
      </c>
      <c r="B14" s="10" t="s">
        <v>73</v>
      </c>
      <c r="C14" s="21">
        <f>0.65*(C6+C7+C8+C11)</f>
        <v>5.4881728019361251</v>
      </c>
    </row>
    <row r="15" spans="1:3" x14ac:dyDescent="0.25">
      <c r="A15" s="10" t="s">
        <v>74</v>
      </c>
      <c r="B15" s="10" t="s">
        <v>76</v>
      </c>
      <c r="C15" s="21">
        <f>0.02*(CAPEX!B34+CAPEX!B35)</f>
        <v>0.95568873591483328</v>
      </c>
    </row>
    <row r="16" spans="1:3" x14ac:dyDescent="0.25">
      <c r="A16" s="59"/>
      <c r="B16" s="59"/>
      <c r="C16" s="29">
        <f>SUM(C14:C15)</f>
        <v>6.4438615378509585</v>
      </c>
    </row>
    <row r="17" spans="1:3" x14ac:dyDescent="0.25">
      <c r="A17" s="53" t="s">
        <v>77</v>
      </c>
      <c r="B17" s="54"/>
      <c r="C17" s="55"/>
    </row>
    <row r="18" spans="1:3" x14ac:dyDescent="0.25">
      <c r="A18" s="10" t="s">
        <v>78</v>
      </c>
      <c r="B18" s="10" t="s">
        <v>79</v>
      </c>
      <c r="C18" s="23">
        <f>0.06*CAPEX!B39</f>
        <v>0.60208390362634501</v>
      </c>
    </row>
    <row r="19" spans="1:3" x14ac:dyDescent="0.25">
      <c r="A19" s="59"/>
      <c r="B19" s="59"/>
      <c r="C19" s="17">
        <f>C18</f>
        <v>0.60208390362634501</v>
      </c>
    </row>
    <row r="20" spans="1:3" x14ac:dyDescent="0.25">
      <c r="A20" s="53" t="s">
        <v>82</v>
      </c>
      <c r="B20" s="55"/>
      <c r="C20" s="17">
        <f>C9+C12+C16+C19</f>
        <v>15.489288213686727</v>
      </c>
    </row>
  </sheetData>
  <mergeCells count="10">
    <mergeCell ref="A3:C3"/>
    <mergeCell ref="A5:C5"/>
    <mergeCell ref="A9:B9"/>
    <mergeCell ref="A10:C10"/>
    <mergeCell ref="A20:B20"/>
    <mergeCell ref="A12:B12"/>
    <mergeCell ref="A13:C13"/>
    <mergeCell ref="A16:B16"/>
    <mergeCell ref="A17:C17"/>
    <mergeCell ref="A19:B19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M17"/>
  <sheetViews>
    <sheetView tabSelected="1" zoomScale="115" zoomScaleNormal="115" workbookViewId="0">
      <selection activeCell="J18" sqref="J18"/>
    </sheetView>
  </sheetViews>
  <sheetFormatPr defaultColWidth="8.85546875" defaultRowHeight="15" x14ac:dyDescent="0.25"/>
  <cols>
    <col min="1" max="1" width="8.85546875" style="11"/>
    <col min="2" max="2" width="19.85546875" style="11" bestFit="1" customWidth="1"/>
    <col min="3" max="3" width="8.28515625" style="11" bestFit="1" customWidth="1"/>
    <col min="4" max="4" width="10.140625" style="11" bestFit="1" customWidth="1"/>
    <col min="5" max="5" width="17.7109375" style="11" bestFit="1" customWidth="1"/>
    <col min="6" max="6" width="10.5703125" style="11" bestFit="1" customWidth="1"/>
    <col min="7" max="8" width="9.28515625" style="11" customWidth="1"/>
    <col min="9" max="9" width="14.5703125" style="11" bestFit="1" customWidth="1"/>
    <col min="10" max="16384" width="8.85546875" style="11"/>
  </cols>
  <sheetData>
    <row r="2" spans="2:13" x14ac:dyDescent="0.25">
      <c r="B2" s="1"/>
    </row>
    <row r="3" spans="2:13" x14ac:dyDescent="0.25">
      <c r="B3" s="13" t="s">
        <v>23</v>
      </c>
      <c r="C3" s="13" t="s">
        <v>29</v>
      </c>
      <c r="D3" s="13" t="s">
        <v>30</v>
      </c>
      <c r="E3" s="13" t="s">
        <v>105</v>
      </c>
      <c r="F3" s="13" t="s">
        <v>101</v>
      </c>
      <c r="I3" s="52" t="s">
        <v>120</v>
      </c>
      <c r="J3" s="48">
        <v>2022</v>
      </c>
      <c r="K3" s="48">
        <v>2050</v>
      </c>
    </row>
    <row r="4" spans="2:13" x14ac:dyDescent="0.25">
      <c r="B4" s="50" t="s">
        <v>102</v>
      </c>
      <c r="C4" s="51"/>
      <c r="D4" s="51"/>
      <c r="E4" s="51"/>
      <c r="F4" s="51"/>
      <c r="G4" s="1"/>
      <c r="H4" s="1"/>
      <c r="I4" s="52" t="s">
        <v>121</v>
      </c>
      <c r="J4" s="42">
        <v>728.17</v>
      </c>
      <c r="K4" s="60">
        <f>J4*596.2/550.8*596.2/550.8*596.2/550.8/(1+0.02)^30</f>
        <v>509.82573013318409</v>
      </c>
    </row>
    <row r="5" spans="2:13" x14ac:dyDescent="0.25">
      <c r="B5" s="12" t="s">
        <v>99</v>
      </c>
      <c r="C5" s="12" t="s">
        <v>31</v>
      </c>
      <c r="D5" s="23">
        <v>0</v>
      </c>
      <c r="E5" s="42">
        <v>0</v>
      </c>
      <c r="F5" s="42">
        <f>D5*E5</f>
        <v>0</v>
      </c>
      <c r="I5" s="52" t="s">
        <v>122</v>
      </c>
      <c r="J5" s="42">
        <v>1366.03</v>
      </c>
      <c r="K5" s="42">
        <v>925.28</v>
      </c>
    </row>
    <row r="6" spans="2:13" x14ac:dyDescent="0.25">
      <c r="B6" s="12" t="s">
        <v>100</v>
      </c>
      <c r="C6" s="12" t="s">
        <v>31</v>
      </c>
      <c r="D6" s="27">
        <f>30690.5025481741/1000</f>
        <v>30.690502548174099</v>
      </c>
      <c r="E6" s="42">
        <v>728.17</v>
      </c>
      <c r="F6" s="42">
        <f>D6*E6</f>
        <v>22347.903240503932</v>
      </c>
      <c r="G6" s="11">
        <f>F6/Summary!$C$23</f>
        <v>0.5959429191976231</v>
      </c>
      <c r="J6" s="49"/>
      <c r="K6" s="49"/>
    </row>
    <row r="7" spans="2:13" x14ac:dyDescent="0.25">
      <c r="B7" s="41" t="s">
        <v>103</v>
      </c>
      <c r="C7" s="12" t="s">
        <v>31</v>
      </c>
      <c r="D7" s="27">
        <f>30690.5025481741/1000</f>
        <v>30.690502548174099</v>
      </c>
      <c r="E7" s="42">
        <v>1366.03</v>
      </c>
      <c r="F7" s="42">
        <f>D7*E7</f>
        <v>41924.147195882266</v>
      </c>
      <c r="G7" s="11">
        <f>F7/Summary!$C$23</f>
        <v>1.1179750688871131</v>
      </c>
    </row>
    <row r="8" spans="2:13" x14ac:dyDescent="0.25">
      <c r="B8" s="50" t="s">
        <v>104</v>
      </c>
      <c r="C8" s="51"/>
      <c r="D8" s="51"/>
      <c r="E8" s="51"/>
      <c r="F8" s="51"/>
      <c r="I8" s="59">
        <v>2022</v>
      </c>
      <c r="J8" s="59"/>
      <c r="K8" s="59"/>
    </row>
    <row r="9" spans="2:13" x14ac:dyDescent="0.25">
      <c r="B9" s="14" t="s">
        <v>24</v>
      </c>
      <c r="C9" s="14" t="s">
        <v>32</v>
      </c>
      <c r="D9" s="9">
        <f>169540876.715708/10^6</f>
        <v>169.54087671570798</v>
      </c>
      <c r="E9" s="42">
        <f>0.38*C17/C16</f>
        <v>0.51041975308641974</v>
      </c>
      <c r="F9" s="42">
        <f>D9*E9</f>
        <v>86.537012431286797</v>
      </c>
      <c r="I9" s="52" t="s">
        <v>120</v>
      </c>
      <c r="J9" s="48" t="s">
        <v>121</v>
      </c>
      <c r="K9" s="48" t="s">
        <v>122</v>
      </c>
    </row>
    <row r="10" spans="2:13" x14ac:dyDescent="0.25">
      <c r="B10" s="14" t="s">
        <v>25</v>
      </c>
      <c r="C10" s="14" t="s">
        <v>33</v>
      </c>
      <c r="D10" s="31">
        <v>1885.3113149999999</v>
      </c>
      <c r="E10" s="40">
        <f>69.6/1000*C17/C16</f>
        <v>9.3487407407407408E-2</v>
      </c>
      <c r="F10" s="42">
        <f>D10*E10</f>
        <v>176.25286699519998</v>
      </c>
      <c r="I10" s="52" t="s">
        <v>123</v>
      </c>
      <c r="J10" s="42">
        <v>668.49</v>
      </c>
      <c r="K10" s="42">
        <v>1024.96</v>
      </c>
    </row>
    <row r="11" spans="2:13" x14ac:dyDescent="0.25">
      <c r="B11" s="4" t="s">
        <v>106</v>
      </c>
      <c r="C11" s="18" t="s">
        <v>37</v>
      </c>
      <c r="D11" s="16"/>
      <c r="E11" s="19"/>
      <c r="F11" s="19">
        <f>(F5+F6+F9+F10)/1000000*8000</f>
        <v>180.88554495944337</v>
      </c>
      <c r="I11" s="52" t="s">
        <v>124</v>
      </c>
      <c r="J11" s="42">
        <v>789.66</v>
      </c>
      <c r="K11" s="42">
        <v>1742</v>
      </c>
    </row>
    <row r="12" spans="2:13" x14ac:dyDescent="0.25">
      <c r="B12" s="36" t="s">
        <v>107</v>
      </c>
      <c r="C12" s="18" t="s">
        <v>37</v>
      </c>
      <c r="D12" s="16"/>
      <c r="E12" s="19"/>
      <c r="F12" s="19">
        <f>(F5+F7+F9+F10)/1000000*8000</f>
        <v>337.4954966024701</v>
      </c>
    </row>
    <row r="13" spans="2:13" x14ac:dyDescent="0.25">
      <c r="B13" s="15"/>
      <c r="C13" s="15"/>
      <c r="D13" s="15"/>
      <c r="E13" s="15"/>
      <c r="F13" s="15"/>
      <c r="G13" s="15"/>
      <c r="H13" s="15"/>
      <c r="I13" s="59">
        <v>2050</v>
      </c>
      <c r="J13" s="59"/>
      <c r="K13" s="59"/>
    </row>
    <row r="14" spans="2:13" x14ac:dyDescent="0.25">
      <c r="B14" s="28" t="s">
        <v>85</v>
      </c>
      <c r="C14" s="15"/>
      <c r="D14" s="15"/>
      <c r="E14" s="15"/>
      <c r="F14" s="15"/>
      <c r="I14" s="52" t="s">
        <v>120</v>
      </c>
      <c r="J14" s="48" t="s">
        <v>121</v>
      </c>
      <c r="K14" s="48" t="s">
        <v>122</v>
      </c>
    </row>
    <row r="15" spans="2:13" x14ac:dyDescent="0.25">
      <c r="B15" s="14" t="s">
        <v>84</v>
      </c>
      <c r="C15" s="23">
        <v>603.1</v>
      </c>
      <c r="E15" s="49"/>
      <c r="I15" s="52" t="s">
        <v>123</v>
      </c>
      <c r="J15" s="42">
        <f>K4*0.85</f>
        <v>433.35187061320647</v>
      </c>
      <c r="K15" s="42">
        <v>658.84</v>
      </c>
      <c r="L15" s="11">
        <v>784.95693082808918</v>
      </c>
      <c r="M15" s="11">
        <v>658.84</v>
      </c>
    </row>
    <row r="16" spans="2:13" x14ac:dyDescent="0.25">
      <c r="B16" s="14" t="s">
        <v>35</v>
      </c>
      <c r="C16" s="21">
        <v>607.5</v>
      </c>
      <c r="I16" s="52" t="s">
        <v>124</v>
      </c>
      <c r="J16" s="42">
        <f>K4*1.15</f>
        <v>586.29958965316166</v>
      </c>
      <c r="K16" s="42">
        <v>1191.73</v>
      </c>
      <c r="L16" s="11">
        <v>1062.000553473297</v>
      </c>
      <c r="M16" s="11">
        <v>1191.73</v>
      </c>
    </row>
    <row r="17" spans="2:5" x14ac:dyDescent="0.25">
      <c r="B17" s="24" t="s">
        <v>91</v>
      </c>
      <c r="C17" s="21">
        <v>816</v>
      </c>
      <c r="E17" s="49"/>
    </row>
  </sheetData>
  <mergeCells count="2">
    <mergeCell ref="I8:K8"/>
    <mergeCell ref="I13:K13"/>
  </mergeCells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G31"/>
  <sheetViews>
    <sheetView zoomScaleNormal="100" workbookViewId="0">
      <selection activeCell="K17" sqref="K17"/>
    </sheetView>
  </sheetViews>
  <sheetFormatPr defaultRowHeight="15" x14ac:dyDescent="0.25"/>
  <cols>
    <col min="2" max="2" width="36.5703125" bestFit="1" customWidth="1"/>
    <col min="3" max="3" width="12.5703125" bestFit="1" customWidth="1"/>
    <col min="6" max="6" width="36.5703125" bestFit="1" customWidth="1"/>
    <col min="7" max="7" width="12.5703125" bestFit="1" customWidth="1"/>
  </cols>
  <sheetData>
    <row r="2" spans="2:7" x14ac:dyDescent="0.25">
      <c r="B2" s="59" t="s">
        <v>98</v>
      </c>
      <c r="C2" s="59"/>
      <c r="F2" s="59" t="s">
        <v>108</v>
      </c>
      <c r="G2" s="59"/>
    </row>
    <row r="3" spans="2:7" x14ac:dyDescent="0.25">
      <c r="B3" s="10" t="s">
        <v>93</v>
      </c>
      <c r="C3" s="21">
        <f>CAPEX!B31</f>
        <v>9.8281441373388834</v>
      </c>
      <c r="F3" s="10" t="s">
        <v>93</v>
      </c>
      <c r="G3" s="21">
        <f t="shared" ref="G3:G17" si="0">C3</f>
        <v>9.8281441373388834</v>
      </c>
    </row>
    <row r="4" spans="2:7" x14ac:dyDescent="0.25">
      <c r="B4" s="26" t="s">
        <v>54</v>
      </c>
      <c r="C4" s="21">
        <f>CAPEX!B34</f>
        <v>36.757259073647433</v>
      </c>
      <c r="F4" s="26" t="s">
        <v>54</v>
      </c>
      <c r="G4" s="21">
        <f t="shared" si="0"/>
        <v>36.757259073647433</v>
      </c>
    </row>
    <row r="5" spans="2:7" x14ac:dyDescent="0.25">
      <c r="B5" s="26" t="s">
        <v>55</v>
      </c>
      <c r="C5" s="21">
        <f>CAPEX!B35</f>
        <v>11.02717772209423</v>
      </c>
      <c r="F5" s="26" t="s">
        <v>55</v>
      </c>
      <c r="G5" s="21">
        <f t="shared" si="0"/>
        <v>11.02717772209423</v>
      </c>
    </row>
    <row r="6" spans="2:7" x14ac:dyDescent="0.25">
      <c r="B6" s="26" t="s">
        <v>75</v>
      </c>
      <c r="C6" s="21">
        <f>CAPEX!B36</f>
        <v>14.335331038722499</v>
      </c>
      <c r="F6" s="26" t="s">
        <v>75</v>
      </c>
      <c r="G6" s="21">
        <f t="shared" si="0"/>
        <v>14.335331038722499</v>
      </c>
    </row>
    <row r="7" spans="2:7" x14ac:dyDescent="0.25">
      <c r="B7" s="26" t="s">
        <v>57</v>
      </c>
      <c r="C7" s="21">
        <f>CAPEX!B37</f>
        <v>4.778443679574166</v>
      </c>
      <c r="F7" s="26" t="s">
        <v>57</v>
      </c>
      <c r="G7" s="21">
        <f t="shared" si="0"/>
        <v>4.778443679574166</v>
      </c>
    </row>
    <row r="8" spans="2:7" x14ac:dyDescent="0.25">
      <c r="B8" s="26" t="s">
        <v>58</v>
      </c>
      <c r="C8" s="21">
        <f>CAPEX!B38</f>
        <v>66.898211514038337</v>
      </c>
      <c r="F8" s="26" t="s">
        <v>58</v>
      </c>
      <c r="G8" s="21">
        <f t="shared" si="0"/>
        <v>66.898211514038337</v>
      </c>
    </row>
    <row r="9" spans="2:7" x14ac:dyDescent="0.25">
      <c r="B9" s="26" t="s">
        <v>61</v>
      </c>
      <c r="C9" s="21">
        <f>CAPEX!B39</f>
        <v>10.034731727105751</v>
      </c>
      <c r="F9" s="26" t="s">
        <v>61</v>
      </c>
      <c r="G9" s="21">
        <f t="shared" si="0"/>
        <v>10.034731727105751</v>
      </c>
    </row>
    <row r="10" spans="2:7" x14ac:dyDescent="0.25">
      <c r="B10" s="10" t="s">
        <v>59</v>
      </c>
      <c r="C10" s="21">
        <f>CAPEX!B40</f>
        <v>76.932943241144088</v>
      </c>
      <c r="F10" s="10" t="s">
        <v>59</v>
      </c>
      <c r="G10" s="21">
        <f t="shared" si="0"/>
        <v>76.932943241144088</v>
      </c>
    </row>
    <row r="11" spans="2:7" x14ac:dyDescent="0.25">
      <c r="B11" s="10" t="s">
        <v>80</v>
      </c>
      <c r="C11" s="21">
        <f>SUM('Production costs'!B9)</f>
        <v>0</v>
      </c>
      <c r="F11" s="10" t="s">
        <v>80</v>
      </c>
      <c r="G11" s="21">
        <f t="shared" si="0"/>
        <v>0</v>
      </c>
    </row>
    <row r="12" spans="2:7" x14ac:dyDescent="0.25">
      <c r="B12" s="10" t="s">
        <v>81</v>
      </c>
      <c r="C12" s="21">
        <f>SUM('Production costs'!B12)</f>
        <v>0</v>
      </c>
      <c r="F12" s="10" t="s">
        <v>81</v>
      </c>
      <c r="G12" s="21">
        <f t="shared" si="0"/>
        <v>0</v>
      </c>
    </row>
    <row r="13" spans="2:7" x14ac:dyDescent="0.25">
      <c r="B13" s="10" t="s">
        <v>70</v>
      </c>
      <c r="C13" s="21">
        <f>SUM('Production costs'!B16)</f>
        <v>0</v>
      </c>
      <c r="F13" s="10" t="s">
        <v>70</v>
      </c>
      <c r="G13" s="21">
        <f t="shared" si="0"/>
        <v>0</v>
      </c>
    </row>
    <row r="14" spans="2:7" x14ac:dyDescent="0.25">
      <c r="B14" s="10" t="s">
        <v>77</v>
      </c>
      <c r="C14" s="21">
        <f>SUM('Production costs'!B19)</f>
        <v>0</v>
      </c>
      <c r="F14" s="10" t="s">
        <v>77</v>
      </c>
      <c r="G14" s="21">
        <f t="shared" si="0"/>
        <v>0</v>
      </c>
    </row>
    <row r="15" spans="2:7" x14ac:dyDescent="0.25">
      <c r="B15" s="10" t="s">
        <v>26</v>
      </c>
      <c r="C15" s="21">
        <v>25</v>
      </c>
      <c r="F15" s="10" t="s">
        <v>26</v>
      </c>
      <c r="G15" s="21">
        <f t="shared" si="0"/>
        <v>25</v>
      </c>
    </row>
    <row r="16" spans="2:7" x14ac:dyDescent="0.25">
      <c r="B16" s="10" t="s">
        <v>27</v>
      </c>
      <c r="C16" s="21">
        <v>0.12</v>
      </c>
      <c r="F16" s="10" t="s">
        <v>27</v>
      </c>
      <c r="G16" s="21">
        <f t="shared" si="0"/>
        <v>0.12</v>
      </c>
    </row>
    <row r="17" spans="2:7" x14ac:dyDescent="0.25">
      <c r="B17" s="10" t="s">
        <v>28</v>
      </c>
      <c r="C17" s="20">
        <v>0.12749996980950773</v>
      </c>
      <c r="F17" s="10" t="s">
        <v>28</v>
      </c>
      <c r="G17" s="20">
        <f t="shared" si="0"/>
        <v>0.12749996980950773</v>
      </c>
    </row>
    <row r="18" spans="2:7" x14ac:dyDescent="0.25">
      <c r="B18" s="13" t="s">
        <v>36</v>
      </c>
      <c r="C18" s="17">
        <f>CAPEX!B45</f>
        <v>9.808947940602442</v>
      </c>
      <c r="F18" s="13" t="s">
        <v>36</v>
      </c>
      <c r="G18" s="17">
        <f>C18</f>
        <v>9.808947940602442</v>
      </c>
    </row>
    <row r="19" spans="2:7" x14ac:dyDescent="0.25">
      <c r="B19" s="13" t="s">
        <v>97</v>
      </c>
      <c r="C19" s="17">
        <v>0</v>
      </c>
      <c r="F19" s="13" t="s">
        <v>97</v>
      </c>
      <c r="G19" s="17">
        <v>0</v>
      </c>
    </row>
    <row r="20" spans="2:7" x14ac:dyDescent="0.25">
      <c r="B20" s="13" t="s">
        <v>86</v>
      </c>
      <c r="C20" s="17">
        <f>OPEX!F11</f>
        <v>180.88554495944337</v>
      </c>
      <c r="F20" s="13" t="s">
        <v>86</v>
      </c>
      <c r="G20" s="17">
        <f>OPEX!F12</f>
        <v>337.4954966024701</v>
      </c>
    </row>
    <row r="21" spans="2:7" x14ac:dyDescent="0.25">
      <c r="B21" s="13" t="s">
        <v>96</v>
      </c>
      <c r="C21" s="17">
        <f>(C18+C19+C20)</f>
        <v>190.69449290004582</v>
      </c>
      <c r="F21" s="13" t="s">
        <v>96</v>
      </c>
      <c r="G21" s="17">
        <f>(G18+G19+G20)</f>
        <v>347.30444454307252</v>
      </c>
    </row>
    <row r="22" spans="2:7" x14ac:dyDescent="0.25">
      <c r="B22" s="13" t="s">
        <v>95</v>
      </c>
      <c r="C22" s="17">
        <f>(C21)*1000000/8000</f>
        <v>23836.811612505728</v>
      </c>
      <c r="F22" s="13" t="s">
        <v>95</v>
      </c>
      <c r="G22" s="17">
        <f>(G21)*1000000/8000</f>
        <v>43413.055567884068</v>
      </c>
    </row>
    <row r="23" spans="2:7" x14ac:dyDescent="0.25">
      <c r="B23" s="28" t="s">
        <v>94</v>
      </c>
      <c r="C23" s="17">
        <v>37500.073447626703</v>
      </c>
      <c r="F23" s="28" t="s">
        <v>94</v>
      </c>
      <c r="G23" s="17">
        <v>37500.073447626703</v>
      </c>
    </row>
    <row r="24" spans="2:7" x14ac:dyDescent="0.25">
      <c r="B24" s="30" t="s">
        <v>109</v>
      </c>
      <c r="C24" s="44">
        <f>C22/C23</f>
        <v>0.63564706468633081</v>
      </c>
      <c r="F24" s="30" t="s">
        <v>109</v>
      </c>
      <c r="G24" s="44">
        <f>G22/G23</f>
        <v>1.157679214375821</v>
      </c>
    </row>
    <row r="28" spans="2:7" x14ac:dyDescent="0.25">
      <c r="C28" s="47"/>
    </row>
    <row r="29" spans="2:7" x14ac:dyDescent="0.25">
      <c r="C29" s="47"/>
    </row>
    <row r="30" spans="2:7" x14ac:dyDescent="0.25">
      <c r="C30" s="47"/>
    </row>
    <row r="31" spans="2:7" x14ac:dyDescent="0.25">
      <c r="C31" s="47"/>
    </row>
  </sheetData>
  <mergeCells count="2">
    <mergeCell ref="B2:C2"/>
    <mergeCell ref="F2:G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CAPEX</vt:lpstr>
      <vt:lpstr>Production costs</vt:lpstr>
      <vt:lpstr>OPEX</vt:lpstr>
      <vt:lpstr>Summary</vt:lpstr>
    </vt:vector>
  </TitlesOfParts>
  <Company>ETH Zuerich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Patel  Bhargav</dc:creator>
  <cp:lastModifiedBy>Nabera  Abhinandan</cp:lastModifiedBy>
  <dcterms:created xsi:type="dcterms:W3CDTF">2019-11-19T09:30:23Z</dcterms:created>
  <dcterms:modified xsi:type="dcterms:W3CDTF">2025-09-09T12:21:48Z</dcterms:modified>
</cp:coreProperties>
</file>