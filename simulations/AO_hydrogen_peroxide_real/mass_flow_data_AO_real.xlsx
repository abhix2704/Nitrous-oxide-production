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AO_real\"/>
    </mc:Choice>
  </mc:AlternateContent>
  <xr:revisionPtr revIDLastSave="0" documentId="13_ncr:1_{779A93C3-86F6-4E7F-898F-B0435135B774}" xr6:coauthVersionLast="36" xr6:coauthVersionMax="36" xr10:uidLastSave="{00000000-0000-0000-0000-000000000000}"/>
  <bookViews>
    <workbookView xWindow="0" yWindow="0" windowWidth="19200" windowHeight="6585" activeTab="2" xr2:uid="{00000000-000D-0000-FFFF-FFFF00000000}"/>
  </bookViews>
  <sheets>
    <sheet name="Material streams" sheetId="1" r:id="rId1"/>
    <sheet name="Electricity" sheetId="2" r:id="rId2"/>
    <sheet name="Utilitie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3" l="1"/>
  <c r="E9" i="1" l="1"/>
  <c r="E10" i="1"/>
  <c r="E2" i="3" l="1"/>
  <c r="E9" i="3" l="1"/>
  <c r="E8" i="3"/>
  <c r="C5" i="2" l="1"/>
  <c r="C6" i="2"/>
  <c r="C7" i="2"/>
  <c r="C4" i="2"/>
  <c r="B8" i="2"/>
  <c r="D5" i="1" l="1"/>
  <c r="C3" i="2" l="1"/>
  <c r="C8" i="2" s="1"/>
  <c r="E8" i="1" l="1"/>
  <c r="E7" i="1" l="1"/>
  <c r="F7" i="1" s="1"/>
  <c r="E6" i="1" l="1"/>
  <c r="E5" i="1"/>
  <c r="E4" i="1"/>
  <c r="C3" i="3" l="1"/>
  <c r="D3" i="3" s="1"/>
  <c r="C2" i="3"/>
  <c r="D2" i="3" s="1"/>
</calcChain>
</file>

<file path=xl/sharedStrings.xml><?xml version="1.0" encoding="utf-8"?>
<sst xmlns="http://schemas.openxmlformats.org/spreadsheetml/2006/main" count="51" uniqueCount="33">
  <si>
    <t>Component</t>
  </si>
  <si>
    <t>Type</t>
  </si>
  <si>
    <t>Mass flow (kg/hr)</t>
  </si>
  <si>
    <t>Water</t>
  </si>
  <si>
    <t>kWh</t>
  </si>
  <si>
    <t>Compressor</t>
  </si>
  <si>
    <t>Total</t>
  </si>
  <si>
    <t>Utility</t>
  </si>
  <si>
    <t>Load (kJ/h)</t>
  </si>
  <si>
    <t>Effective Cp (kJ/kg C)</t>
  </si>
  <si>
    <t>ΔT</t>
  </si>
  <si>
    <r>
      <t>T</t>
    </r>
    <r>
      <rPr>
        <b/>
        <vertAlign val="subscript"/>
        <sz val="11"/>
        <color theme="1"/>
        <rFont val="Calibri"/>
        <family val="2"/>
        <scheme val="minor"/>
      </rPr>
      <t>in</t>
    </r>
  </si>
  <si>
    <r>
      <t>T</t>
    </r>
    <r>
      <rPr>
        <b/>
        <vertAlign val="subscript"/>
        <sz val="11"/>
        <color theme="1"/>
        <rFont val="Calibri"/>
        <family val="2"/>
        <scheme val="minor"/>
      </rPr>
      <t>out</t>
    </r>
  </si>
  <si>
    <t xml:space="preserve"> </t>
  </si>
  <si>
    <t>Cooling water</t>
  </si>
  <si>
    <t>Feed</t>
  </si>
  <si>
    <t>Emissions</t>
  </si>
  <si>
    <t>Product</t>
  </si>
  <si>
    <t>Stream name</t>
  </si>
  <si>
    <t>Data used for calculating the mass flow rate taken from Aspen energy analyzer</t>
  </si>
  <si>
    <t>Flow rate (kg/h)</t>
  </si>
  <si>
    <r>
      <t>Flow/kg N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</si>
  <si>
    <t>Purge gas</t>
  </si>
  <si>
    <t>Oxygen</t>
  </si>
  <si>
    <t>Hydrogen</t>
  </si>
  <si>
    <r>
      <t>Final product: H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  <r>
      <rPr>
        <b/>
        <vertAlign val="subscript"/>
        <sz val="11"/>
        <color theme="1"/>
        <rFont val="Calibri"/>
        <family val="2"/>
        <scheme val="minor"/>
      </rPr>
      <t>2</t>
    </r>
  </si>
  <si>
    <t>Anthroquinone</t>
  </si>
  <si>
    <r>
      <t>H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2</t>
    </r>
  </si>
  <si>
    <t>Pump</t>
  </si>
  <si>
    <r>
      <t>kWh/kg H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  <r>
      <rPr>
        <b/>
        <vertAlign val="subscript"/>
        <sz val="11"/>
        <color theme="1"/>
        <rFont val="Calibri"/>
        <family val="2"/>
        <scheme val="minor"/>
      </rPr>
      <t>2</t>
    </r>
  </si>
  <si>
    <t>Natural gas</t>
  </si>
  <si>
    <r>
      <t>Mass/kg H</t>
    </r>
    <r>
      <rPr>
        <b/>
        <vertAlign val="sub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O</t>
    </r>
    <r>
      <rPr>
        <b/>
        <vertAlign val="subscript"/>
        <sz val="11"/>
        <color theme="1"/>
        <rFont val="Calibri"/>
        <family val="2"/>
        <scheme val="minor"/>
      </rPr>
      <t>2</t>
    </r>
  </si>
  <si>
    <t>Hydrogen peroxide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</si>
</sst>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left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0" xfId="0" applyFont="1"/>
    <xf numFmtId="0" fontId="1" fillId="0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2" fontId="0" fillId="0" borderId="0" xfId="0" applyNumberFormat="1"/>
    <xf numFmtId="11" fontId="0" fillId="0" borderId="0" xfId="0" applyNumberFormat="1"/>
    <xf numFmtId="0" fontId="1" fillId="0" borderId="3" xfId="0" applyFont="1" applyBorder="1" applyAlignment="1">
      <alignment horizontal="center"/>
    </xf>
    <xf numFmtId="2" fontId="1" fillId="0" borderId="3" xfId="0" applyNumberFormat="1" applyFont="1" applyBorder="1" applyAlignment="1">
      <alignment horizontal="center"/>
    </xf>
    <xf numFmtId="0" fontId="5" fillId="0" borderId="0" xfId="0" applyFont="1" applyBorder="1" applyAlignment="1">
      <alignment vertical="center" wrapText="1"/>
    </xf>
    <xf numFmtId="0" fontId="4" fillId="0" borderId="0" xfId="0" applyFont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/>
    </xf>
    <xf numFmtId="164" fontId="0" fillId="0" borderId="0" xfId="0" applyNumberFormat="1"/>
    <xf numFmtId="0" fontId="0" fillId="0" borderId="3" xfId="0" applyBorder="1" applyAlignment="1">
      <alignment horizontal="center"/>
    </xf>
    <xf numFmtId="2" fontId="0" fillId="0" borderId="3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zoomScale="115" zoomScaleNormal="115" workbookViewId="0">
      <selection activeCell="B11" sqref="B11"/>
    </sheetView>
  </sheetViews>
  <sheetFormatPr defaultColWidth="9" defaultRowHeight="15" x14ac:dyDescent="0.25"/>
  <cols>
    <col min="1" max="1" width="16.42578125" style="1" bestFit="1" customWidth="1"/>
    <col min="2" max="2" width="18.5703125" style="1" bestFit="1" customWidth="1"/>
    <col min="3" max="3" width="11.140625" style="1" bestFit="1" customWidth="1"/>
    <col min="4" max="4" width="16" style="1" bestFit="1" customWidth="1"/>
    <col min="5" max="5" width="13.42578125" style="1" bestFit="1" customWidth="1"/>
    <col min="6" max="16384" width="9" style="1"/>
  </cols>
  <sheetData>
    <row r="1" spans="1:6" ht="18" x14ac:dyDescent="0.35">
      <c r="A1" s="2" t="s">
        <v>25</v>
      </c>
    </row>
    <row r="2" spans="1:6" x14ac:dyDescent="0.25">
      <c r="A2" s="2"/>
    </row>
    <row r="3" spans="1:6" ht="18" x14ac:dyDescent="0.35">
      <c r="A3" s="6" t="s">
        <v>18</v>
      </c>
      <c r="B3" s="6" t="s">
        <v>0</v>
      </c>
      <c r="C3" s="6" t="s">
        <v>1</v>
      </c>
      <c r="D3" s="6" t="s">
        <v>2</v>
      </c>
      <c r="E3" s="6" t="s">
        <v>31</v>
      </c>
    </row>
    <row r="4" spans="1:6" ht="18" customHeight="1" x14ac:dyDescent="0.25">
      <c r="A4" s="3" t="s">
        <v>24</v>
      </c>
      <c r="B4" s="3" t="s">
        <v>24</v>
      </c>
      <c r="C4" s="3" t="s">
        <v>15</v>
      </c>
      <c r="D4" s="4">
        <v>2469.3749935075198</v>
      </c>
      <c r="E4" s="5">
        <f t="shared" ref="E4:E10" si="0">D4/$D$10</f>
        <v>6.5856585494280209E-2</v>
      </c>
    </row>
    <row r="5" spans="1:6" ht="18" x14ac:dyDescent="0.35">
      <c r="A5" s="3" t="s">
        <v>26</v>
      </c>
      <c r="B5" s="3" t="s">
        <v>26</v>
      </c>
      <c r="C5" s="3" t="s">
        <v>15</v>
      </c>
      <c r="D5" s="4">
        <f>289421.705292985-289305.935935502</f>
        <v>115.76935748301912</v>
      </c>
      <c r="E5" s="5">
        <f t="shared" si="0"/>
        <v>3.0874916157909655E-3</v>
      </c>
    </row>
    <row r="6" spans="1:6" x14ac:dyDescent="0.25">
      <c r="A6" s="3" t="s">
        <v>23</v>
      </c>
      <c r="B6" s="3" t="s">
        <v>23</v>
      </c>
      <c r="C6" s="3" t="s">
        <v>15</v>
      </c>
      <c r="D6" s="4">
        <v>35277.562506496797</v>
      </c>
      <c r="E6" s="5">
        <f t="shared" si="0"/>
        <v>0.94082908320819425</v>
      </c>
    </row>
    <row r="7" spans="1:6" x14ac:dyDescent="0.25">
      <c r="A7" s="3" t="s">
        <v>3</v>
      </c>
      <c r="B7" s="3" t="s">
        <v>3</v>
      </c>
      <c r="C7" s="3" t="s">
        <v>16</v>
      </c>
      <c r="D7" s="4">
        <v>21379.226143766398</v>
      </c>
      <c r="E7" s="5">
        <f t="shared" si="0"/>
        <v>0.57016971421526419</v>
      </c>
      <c r="F7" s="1">
        <f>E7/1000</f>
        <v>5.7016971421526422E-4</v>
      </c>
    </row>
    <row r="8" spans="1:6" x14ac:dyDescent="0.25">
      <c r="A8" s="3" t="s">
        <v>22</v>
      </c>
      <c r="B8" s="3" t="s">
        <v>24</v>
      </c>
      <c r="C8" s="3" t="s">
        <v>16</v>
      </c>
      <c r="D8" s="4">
        <v>245.83018157332799</v>
      </c>
      <c r="E8" s="5">
        <f t="shared" si="0"/>
        <v>6.5561271222166857E-3</v>
      </c>
    </row>
    <row r="9" spans="1:6" x14ac:dyDescent="0.25">
      <c r="A9" s="3" t="s">
        <v>22</v>
      </c>
      <c r="B9" s="3" t="s">
        <v>26</v>
      </c>
      <c r="C9" s="3" t="s">
        <v>16</v>
      </c>
      <c r="D9" s="4">
        <v>115.768681846863</v>
      </c>
      <c r="E9" s="5">
        <f t="shared" si="0"/>
        <v>3.0874735970249237E-3</v>
      </c>
    </row>
    <row r="10" spans="1:6" ht="18" x14ac:dyDescent="0.35">
      <c r="A10" s="3" t="s">
        <v>27</v>
      </c>
      <c r="B10" s="3" t="s">
        <v>32</v>
      </c>
      <c r="C10" s="3" t="s">
        <v>17</v>
      </c>
      <c r="D10" s="4">
        <v>37496.249994952901</v>
      </c>
      <c r="E10" s="5">
        <f t="shared" si="0"/>
        <v>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8"/>
  <sheetViews>
    <sheetView zoomScale="160" zoomScaleNormal="160" workbookViewId="0">
      <selection activeCell="C8" sqref="C8"/>
    </sheetView>
  </sheetViews>
  <sheetFormatPr defaultRowHeight="15" x14ac:dyDescent="0.25"/>
  <cols>
    <col min="1" max="1" width="15.7109375" style="1" bestFit="1" customWidth="1"/>
    <col min="2" max="2" width="11.7109375" style="1" bestFit="1" customWidth="1"/>
    <col min="3" max="3" width="11.42578125" style="1" bestFit="1" customWidth="1"/>
    <col min="5" max="5" width="10.140625" bestFit="1" customWidth="1"/>
    <col min="6" max="6" width="11.140625" bestFit="1" customWidth="1"/>
  </cols>
  <sheetData>
    <row r="2" spans="1:5" ht="18" x14ac:dyDescent="0.35">
      <c r="A2" s="6" t="s">
        <v>1</v>
      </c>
      <c r="B2" s="6" t="s">
        <v>4</v>
      </c>
      <c r="C2" s="6" t="s">
        <v>29</v>
      </c>
    </row>
    <row r="3" spans="1:5" x14ac:dyDescent="0.25">
      <c r="A3" s="3" t="s">
        <v>5</v>
      </c>
      <c r="B3" s="4">
        <v>761.73267999999996</v>
      </c>
      <c r="C3" s="5">
        <f>B3/'Material streams'!$D$10</f>
        <v>2.0314902959696804E-2</v>
      </c>
      <c r="D3" s="15"/>
      <c r="E3" s="15"/>
    </row>
    <row r="4" spans="1:5" x14ac:dyDescent="0.25">
      <c r="A4" s="3" t="s">
        <v>5</v>
      </c>
      <c r="B4" s="4">
        <v>1815.50208</v>
      </c>
      <c r="C4" s="5">
        <f>B4/'Material streams'!$D$10</f>
        <v>4.8418230629579534E-2</v>
      </c>
      <c r="D4" s="15"/>
      <c r="E4" s="15"/>
    </row>
    <row r="5" spans="1:5" x14ac:dyDescent="0.25">
      <c r="A5" s="3" t="s">
        <v>5</v>
      </c>
      <c r="B5" s="19">
        <v>681.30459800000006</v>
      </c>
      <c r="C5" s="5">
        <f>B5/'Material streams'!$D$10</f>
        <v>1.8169939609739789E-2</v>
      </c>
      <c r="D5" s="15"/>
      <c r="E5" s="15"/>
    </row>
    <row r="6" spans="1:5" x14ac:dyDescent="0.25">
      <c r="A6" s="18" t="s">
        <v>28</v>
      </c>
      <c r="B6" s="19">
        <v>6.0625453399999998</v>
      </c>
      <c r="C6" s="5">
        <f>B6/'Material streams'!$D$10</f>
        <v>1.6168404415951022E-4</v>
      </c>
      <c r="D6" s="15"/>
      <c r="E6" s="15"/>
    </row>
    <row r="7" spans="1:5" x14ac:dyDescent="0.25">
      <c r="A7" s="18" t="s">
        <v>28</v>
      </c>
      <c r="B7" s="19">
        <v>54.760604499999999</v>
      </c>
      <c r="C7" s="5">
        <f>B7/'Material streams'!$D$10</f>
        <v>1.4604288297461994E-3</v>
      </c>
      <c r="D7" s="15"/>
      <c r="E7" s="15"/>
    </row>
    <row r="8" spans="1:5" ht="14.25" customHeight="1" x14ac:dyDescent="0.25">
      <c r="A8" s="12" t="s">
        <v>6</v>
      </c>
      <c r="B8" s="13">
        <f>SUM(B3:B7)</f>
        <v>3319.36250784</v>
      </c>
      <c r="C8" s="16">
        <f>SUM(C3:C7)</f>
        <v>8.8525186072921841E-2</v>
      </c>
      <c r="D8" s="14"/>
      <c r="E8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tabSelected="1" zoomScale="145" zoomScaleNormal="145" workbookViewId="0">
      <selection activeCell="H12" sqref="H12"/>
    </sheetView>
  </sheetViews>
  <sheetFormatPr defaultRowHeight="15" x14ac:dyDescent="0.25"/>
  <cols>
    <col min="1" max="1" width="26" customWidth="1"/>
    <col min="2" max="2" width="19.85546875" bestFit="1" customWidth="1"/>
    <col min="3" max="3" width="21.28515625" bestFit="1" customWidth="1"/>
    <col min="4" max="4" width="19.140625" bestFit="1" customWidth="1"/>
    <col min="5" max="5" width="6.7109375" bestFit="1" customWidth="1"/>
    <col min="6" max="6" width="4.7109375" bestFit="1" customWidth="1"/>
    <col min="7" max="7" width="5.28515625" bestFit="1" customWidth="1"/>
    <col min="8" max="8" width="12.140625" bestFit="1" customWidth="1"/>
    <col min="11" max="11" width="13" bestFit="1" customWidth="1"/>
  </cols>
  <sheetData>
    <row r="1" spans="1:8" ht="18" x14ac:dyDescent="0.35">
      <c r="A1" s="6" t="s">
        <v>7</v>
      </c>
      <c r="B1" s="6" t="s">
        <v>8</v>
      </c>
      <c r="C1" s="6" t="s">
        <v>20</v>
      </c>
      <c r="D1" s="8" t="s">
        <v>21</v>
      </c>
    </row>
    <row r="2" spans="1:8" x14ac:dyDescent="0.25">
      <c r="A2" s="3" t="s">
        <v>14</v>
      </c>
      <c r="B2" s="4">
        <v>105005442.151052</v>
      </c>
      <c r="C2" s="4">
        <f>B2/B8/E8</f>
        <v>5020580.5475042788</v>
      </c>
      <c r="D2" s="4">
        <f>C2/'Material streams'!$D$10</f>
        <v>133.89553750521887</v>
      </c>
      <c r="E2" s="17">
        <f>B2/1000/'Material streams'!D10</f>
        <v>2.8004251669216531</v>
      </c>
      <c r="H2" s="10"/>
    </row>
    <row r="3" spans="1:8" x14ac:dyDescent="0.25">
      <c r="A3" s="3" t="s">
        <v>30</v>
      </c>
      <c r="B3" s="4">
        <v>72169497.710010603</v>
      </c>
      <c r="C3" s="4">
        <f>B3/B9/E9</f>
        <v>1532.2610978770829</v>
      </c>
      <c r="D3" s="4">
        <f>C3/'Material streams'!$D$10</f>
        <v>4.0864382387127501E-2</v>
      </c>
      <c r="E3" s="17">
        <f>B3/1000/'Material streams'!D10</f>
        <v>1.9247124104337052</v>
      </c>
    </row>
    <row r="6" spans="1:8" x14ac:dyDescent="0.25">
      <c r="A6" s="7" t="s">
        <v>19</v>
      </c>
    </row>
    <row r="7" spans="1:8" ht="18" x14ac:dyDescent="0.35">
      <c r="A7" s="6" t="s">
        <v>7</v>
      </c>
      <c r="B7" s="6" t="s">
        <v>9</v>
      </c>
      <c r="C7" s="9" t="s">
        <v>11</v>
      </c>
      <c r="D7" s="9" t="s">
        <v>12</v>
      </c>
      <c r="E7" s="9" t="s">
        <v>10</v>
      </c>
    </row>
    <row r="8" spans="1:8" x14ac:dyDescent="0.25">
      <c r="A8" s="3" t="s">
        <v>14</v>
      </c>
      <c r="B8" s="4">
        <v>4.1829999999999998</v>
      </c>
      <c r="C8" s="3">
        <v>15</v>
      </c>
      <c r="D8" s="3">
        <v>20</v>
      </c>
      <c r="E8" s="3">
        <f>D8-C8</f>
        <v>5</v>
      </c>
    </row>
    <row r="9" spans="1:8" x14ac:dyDescent="0.25">
      <c r="A9" s="3" t="s">
        <v>30</v>
      </c>
      <c r="B9" s="4">
        <v>47100</v>
      </c>
      <c r="C9" s="3">
        <v>1247</v>
      </c>
      <c r="D9" s="3">
        <v>1246</v>
      </c>
      <c r="E9" s="3">
        <f>C9-D9</f>
        <v>1</v>
      </c>
    </row>
    <row r="11" spans="1:8" x14ac:dyDescent="0.25">
      <c r="E11" s="11"/>
    </row>
    <row r="12" spans="1:8" x14ac:dyDescent="0.25">
      <c r="A12" t="s">
        <v>13</v>
      </c>
      <c r="E12" s="11"/>
    </row>
    <row r="13" spans="1:8" x14ac:dyDescent="0.25">
      <c r="E13" s="11"/>
    </row>
    <row r="14" spans="1:8" x14ac:dyDescent="0.25">
      <c r="D14" s="11"/>
      <c r="E14" s="11"/>
    </row>
    <row r="15" spans="1:8" x14ac:dyDescent="0.25">
      <c r="E15" s="11"/>
    </row>
    <row r="16" spans="1:8" x14ac:dyDescent="0.25">
      <c r="D16" s="11"/>
      <c r="E16" s="11"/>
    </row>
    <row r="17" spans="4:5" x14ac:dyDescent="0.25">
      <c r="E17" s="11"/>
    </row>
    <row r="18" spans="4:5" x14ac:dyDescent="0.25">
      <c r="E18" s="11"/>
    </row>
    <row r="19" spans="4:5" x14ac:dyDescent="0.25">
      <c r="E19" s="11"/>
    </row>
    <row r="20" spans="4:5" x14ac:dyDescent="0.25">
      <c r="E20" s="11"/>
    </row>
    <row r="21" spans="4:5" x14ac:dyDescent="0.25">
      <c r="D21" s="11"/>
      <c r="E21" s="1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Material streams</vt:lpstr>
      <vt:lpstr>Electricity</vt:lpstr>
      <vt:lpstr>Utilities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Nabera  Abhinandan</dc:creator>
  <cp:lastModifiedBy>Nabera  Abhinandan</cp:lastModifiedBy>
  <dcterms:created xsi:type="dcterms:W3CDTF">2020-04-23T14:14:32Z</dcterms:created>
  <dcterms:modified xsi:type="dcterms:W3CDTF">2025-05-23T10:52:14Z</dcterms:modified>
</cp:coreProperties>
</file>