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simulations\BAU_simulation\"/>
    </mc:Choice>
  </mc:AlternateContent>
  <xr:revisionPtr revIDLastSave="0" documentId="13_ncr:1_{7C126B31-4F1E-4A8E-BDDF-71EC3B1E4012}" xr6:coauthVersionLast="36" xr6:coauthVersionMax="36" xr10:uidLastSave="{00000000-0000-0000-0000-000000000000}"/>
  <bookViews>
    <workbookView xWindow="0" yWindow="0" windowWidth="19200" windowHeight="6585" xr2:uid="{00000000-000D-0000-FFFF-FFFF00000000}"/>
  </bookViews>
  <sheets>
    <sheet name="Material streams" sheetId="1" r:id="rId1"/>
    <sheet name="Electricity" sheetId="2" r:id="rId2"/>
    <sheet name="Utilit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3" l="1"/>
  <c r="D3" i="2"/>
  <c r="D8" i="1"/>
  <c r="D5" i="1"/>
  <c r="D4" i="1"/>
  <c r="C10" i="2" l="1"/>
  <c r="D8" i="2" l="1"/>
  <c r="D7" i="2"/>
  <c r="E12" i="1" l="1"/>
  <c r="E11" i="1"/>
  <c r="E10" i="1" l="1"/>
  <c r="E9" i="1"/>
  <c r="E8" i="1"/>
  <c r="D9" i="2" l="1"/>
  <c r="D6" i="2"/>
  <c r="D5" i="2"/>
  <c r="D4" i="2"/>
  <c r="E7" i="1"/>
  <c r="D10" i="2" l="1"/>
  <c r="E6" i="1"/>
  <c r="F7" i="1" s="1"/>
  <c r="G7" i="1" s="1"/>
  <c r="E5" i="1"/>
  <c r="E4" i="1"/>
  <c r="E13" i="1"/>
  <c r="C4" i="3" l="1"/>
  <c r="D4" i="3" s="1"/>
  <c r="E10" i="3"/>
  <c r="C3" i="3" s="1"/>
  <c r="D3" i="3" s="1"/>
  <c r="E9" i="3"/>
  <c r="C2" i="3" s="1"/>
  <c r="D2" i="3" s="1"/>
</calcChain>
</file>

<file path=xl/sharedStrings.xml><?xml version="1.0" encoding="utf-8"?>
<sst xmlns="http://schemas.openxmlformats.org/spreadsheetml/2006/main" count="72" uniqueCount="47">
  <si>
    <t>Component</t>
  </si>
  <si>
    <t>Type</t>
  </si>
  <si>
    <t>Mass flow (kg/hr)</t>
  </si>
  <si>
    <t>Water</t>
  </si>
  <si>
    <t>Ammonia</t>
  </si>
  <si>
    <t>kWh</t>
  </si>
  <si>
    <t>Block</t>
  </si>
  <si>
    <t>Compressor</t>
  </si>
  <si>
    <t>K-100</t>
  </si>
  <si>
    <t>Total</t>
  </si>
  <si>
    <t>Utility</t>
  </si>
  <si>
    <t>Load (kJ/h)</t>
  </si>
  <si>
    <t>Effective Cp (kJ/kg C)</t>
  </si>
  <si>
    <t>ΔT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</si>
  <si>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in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</si>
  <si>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out</t>
    </r>
  </si>
  <si>
    <t xml:space="preserve"> </t>
  </si>
  <si>
    <t>Cooling water</t>
  </si>
  <si>
    <r>
      <t>Final product: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</si>
  <si>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Mass/kg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</si>
  <si>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</si>
  <si>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</si>
  <si>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t>Nitrous oxide</t>
  </si>
  <si>
    <t>Feed</t>
  </si>
  <si>
    <t>Emissions</t>
  </si>
  <si>
    <t>Product</t>
  </si>
  <si>
    <t>Stream name</t>
  </si>
  <si>
    <t>HP steam generation</t>
  </si>
  <si>
    <t>Data used for calculating the mass flow rate taken from Aspen energy analyzer</t>
  </si>
  <si>
    <t>Flow rate (kg/h)</t>
  </si>
  <si>
    <r>
      <t>kWh/kg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</si>
  <si>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Flow/kg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</si>
  <si>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t>P-100</t>
  </si>
  <si>
    <t>Pump</t>
  </si>
  <si>
    <t>Purge gas</t>
  </si>
  <si>
    <t>Nitrogen dioxide</t>
  </si>
  <si>
    <t>Nitrogen monoxide</t>
  </si>
  <si>
    <t>Nitric acid</t>
  </si>
  <si>
    <t>Air</t>
  </si>
  <si>
    <t>K-101</t>
  </si>
  <si>
    <t>K-102</t>
  </si>
  <si>
    <t>K-103</t>
  </si>
  <si>
    <t>K-104</t>
  </si>
  <si>
    <t>K-105</t>
  </si>
  <si>
    <t>Nitrogen</t>
  </si>
  <si>
    <t>Oxygen</t>
  </si>
  <si>
    <t>Fired heat - natural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</si>
</sst>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0" fillId="0" borderId="0" xfId="0" applyNumberFormat="1"/>
    <xf numFmtId="11" fontId="0" fillId="0" borderId="0" xfId="0" applyNumberFormat="1"/>
    <xf numFmtId="0" fontId="1" fillId="0" borderId="3" xfId="0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0" fontId="5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2" fontId="0" fillId="0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"/>
  <sheetViews>
    <sheetView tabSelected="1" zoomScale="115" zoomScaleNormal="115" workbookViewId="0">
      <selection activeCell="J18" sqref="J18"/>
    </sheetView>
  </sheetViews>
  <sheetFormatPr defaultColWidth="9" defaultRowHeight="15" x14ac:dyDescent="0.25"/>
  <cols>
    <col min="1" max="1" width="16.42578125" style="1" bestFit="1" customWidth="1"/>
    <col min="2" max="2" width="18.5703125" style="1" bestFit="1" customWidth="1"/>
    <col min="3" max="3" width="11.140625" style="1" bestFit="1" customWidth="1"/>
    <col min="4" max="4" width="16" style="1" bestFit="1" customWidth="1"/>
    <col min="5" max="5" width="12" style="1" bestFit="1" customWidth="1"/>
    <col min="6" max="16384" width="9" style="1"/>
  </cols>
  <sheetData>
    <row r="1" spans="1:11" ht="18" x14ac:dyDescent="0.35">
      <c r="A1" s="2" t="s">
        <v>18</v>
      </c>
    </row>
    <row r="2" spans="1:11" x14ac:dyDescent="0.25">
      <c r="A2" s="2"/>
    </row>
    <row r="3" spans="1:11" ht="18" x14ac:dyDescent="0.35">
      <c r="A3" s="6" t="s">
        <v>26</v>
      </c>
      <c r="B3" s="6" t="s">
        <v>0</v>
      </c>
      <c r="C3" s="6" t="s">
        <v>1</v>
      </c>
      <c r="D3" s="6" t="s">
        <v>2</v>
      </c>
      <c r="E3" s="6" t="s">
        <v>19</v>
      </c>
    </row>
    <row r="4" spans="1:11" ht="18" customHeight="1" x14ac:dyDescent="0.25">
      <c r="A4" s="3" t="s">
        <v>38</v>
      </c>
      <c r="B4" s="3" t="s">
        <v>38</v>
      </c>
      <c r="C4" s="3" t="s">
        <v>23</v>
      </c>
      <c r="D4" s="4">
        <f>259653.5748+9636.03266480001</f>
        <v>269289.60746480001</v>
      </c>
      <c r="E4" s="5">
        <f t="shared" ref="E4:E10" si="0">D4/$D$13</f>
        <v>7.2192095071098645</v>
      </c>
    </row>
    <row r="5" spans="1:11" ht="18" x14ac:dyDescent="0.35">
      <c r="A5" s="3" t="s">
        <v>21</v>
      </c>
      <c r="B5" s="3" t="s">
        <v>4</v>
      </c>
      <c r="C5" s="3" t="s">
        <v>23</v>
      </c>
      <c r="D5" s="4">
        <f>16332.30704+17030.56</f>
        <v>33362.867039999997</v>
      </c>
      <c r="E5" s="5">
        <f t="shared" si="0"/>
        <v>0.89440334956518253</v>
      </c>
    </row>
    <row r="6" spans="1:11" x14ac:dyDescent="0.25">
      <c r="A6" s="3" t="s">
        <v>3</v>
      </c>
      <c r="B6" s="3" t="s">
        <v>3</v>
      </c>
      <c r="C6" s="3" t="s">
        <v>23</v>
      </c>
      <c r="D6" s="4">
        <v>18015.28</v>
      </c>
      <c r="E6" s="5">
        <f t="shared" si="0"/>
        <v>0.48295989538417805</v>
      </c>
    </row>
    <row r="7" spans="1:11" x14ac:dyDescent="0.25">
      <c r="A7" s="3" t="s">
        <v>3</v>
      </c>
      <c r="B7" s="3" t="s">
        <v>3</v>
      </c>
      <c r="C7" s="3" t="s">
        <v>24</v>
      </c>
      <c r="D7" s="4">
        <v>72568.125839708198</v>
      </c>
      <c r="E7" s="5">
        <f t="shared" si="0"/>
        <v>1.9454315705207659</v>
      </c>
      <c r="F7" s="20">
        <f>E7-E6</f>
        <v>1.4624716751365878</v>
      </c>
      <c r="G7" s="1">
        <f>F7/1000</f>
        <v>1.4624716751365878E-3</v>
      </c>
    </row>
    <row r="8" spans="1:11" x14ac:dyDescent="0.25">
      <c r="A8" s="3" t="s">
        <v>34</v>
      </c>
      <c r="B8" s="3" t="s">
        <v>44</v>
      </c>
      <c r="C8" s="3" t="s">
        <v>24</v>
      </c>
      <c r="D8" s="4">
        <f>1679.05795750001+206520.394118538</f>
        <v>208199.45207603803</v>
      </c>
      <c r="E8" s="5">
        <f t="shared" si="0"/>
        <v>5.581483362661392</v>
      </c>
    </row>
    <row r="9" spans="1:11" x14ac:dyDescent="0.25">
      <c r="A9" s="3" t="s">
        <v>34</v>
      </c>
      <c r="B9" s="3" t="s">
        <v>45</v>
      </c>
      <c r="C9" s="3" t="s">
        <v>24</v>
      </c>
      <c r="D9" s="4">
        <v>1.25044712527556</v>
      </c>
      <c r="E9" s="5">
        <f t="shared" si="0"/>
        <v>3.3522421677960638E-5</v>
      </c>
      <c r="H9" s="18"/>
      <c r="I9" s="18"/>
      <c r="J9" s="18"/>
      <c r="K9" s="18"/>
    </row>
    <row r="10" spans="1:11" x14ac:dyDescent="0.25">
      <c r="A10" s="3" t="s">
        <v>34</v>
      </c>
      <c r="B10" s="3" t="s">
        <v>35</v>
      </c>
      <c r="C10" s="3" t="s">
        <v>24</v>
      </c>
      <c r="D10" s="4">
        <v>1102.9828215</v>
      </c>
      <c r="E10" s="5">
        <f t="shared" si="0"/>
        <v>2.9569147306185949E-2</v>
      </c>
      <c r="H10" s="18"/>
      <c r="I10" s="18"/>
      <c r="J10" s="18"/>
      <c r="K10" s="18"/>
    </row>
    <row r="11" spans="1:11" x14ac:dyDescent="0.25">
      <c r="A11" s="3" t="s">
        <v>34</v>
      </c>
      <c r="B11" s="3" t="s">
        <v>36</v>
      </c>
      <c r="C11" s="3" t="s">
        <v>24</v>
      </c>
      <c r="D11" s="22">
        <v>1438.7944130000001</v>
      </c>
      <c r="E11" s="5">
        <f t="shared" ref="E11:E12" si="1">D11/$D$13</f>
        <v>3.8571701310322122E-2</v>
      </c>
      <c r="H11" s="18"/>
      <c r="I11" s="18"/>
      <c r="J11" s="18"/>
      <c r="K11" s="18"/>
    </row>
    <row r="12" spans="1:11" x14ac:dyDescent="0.25">
      <c r="A12" s="3" t="s">
        <v>34</v>
      </c>
      <c r="B12" s="3" t="s">
        <v>37</v>
      </c>
      <c r="C12" s="3" t="s">
        <v>24</v>
      </c>
      <c r="D12" s="22">
        <v>55.3352947902276</v>
      </c>
      <c r="E12" s="5">
        <f t="shared" si="1"/>
        <v>1.4834478388868215E-3</v>
      </c>
      <c r="H12" s="18"/>
      <c r="I12" s="18"/>
      <c r="J12" s="18"/>
      <c r="K12" s="19"/>
    </row>
    <row r="13" spans="1:11" ht="18" x14ac:dyDescent="0.35">
      <c r="A13" s="3" t="s">
        <v>20</v>
      </c>
      <c r="B13" s="3" t="s">
        <v>22</v>
      </c>
      <c r="C13" s="3" t="s">
        <v>25</v>
      </c>
      <c r="D13" s="4">
        <v>37301.8136126385</v>
      </c>
      <c r="E13" s="5">
        <f>D13/$D$13</f>
        <v>1</v>
      </c>
      <c r="H13" s="18"/>
      <c r="I13" s="18"/>
      <c r="J13" s="18"/>
      <c r="K13" s="18"/>
    </row>
    <row r="14" spans="1:11" x14ac:dyDescent="0.25">
      <c r="H14" s="18"/>
      <c r="I14" s="18"/>
      <c r="J14" s="18"/>
      <c r="K14" s="18"/>
    </row>
    <row r="15" spans="1:11" x14ac:dyDescent="0.25">
      <c r="H15" s="18"/>
      <c r="I15" s="18"/>
      <c r="J15" s="18"/>
      <c r="K15" s="18"/>
    </row>
    <row r="16" spans="1:11" x14ac:dyDescent="0.25">
      <c r="H16" s="18"/>
      <c r="I16" s="18"/>
      <c r="J16" s="18"/>
      <c r="K16" s="18"/>
    </row>
    <row r="17" spans="8:11" x14ac:dyDescent="0.25">
      <c r="H17" s="18"/>
      <c r="I17" s="18"/>
      <c r="J17" s="18"/>
      <c r="K17" s="18"/>
    </row>
    <row r="18" spans="8:11" x14ac:dyDescent="0.25">
      <c r="H18" s="18"/>
      <c r="I18" s="18"/>
      <c r="J18" s="18"/>
      <c r="K18" s="18"/>
    </row>
    <row r="19" spans="8:11" x14ac:dyDescent="0.25">
      <c r="H19" s="18"/>
      <c r="I19" s="18"/>
      <c r="J19" s="18"/>
      <c r="K19" s="18"/>
    </row>
    <row r="20" spans="8:11" x14ac:dyDescent="0.25">
      <c r="H20" s="18"/>
      <c r="I20" s="18"/>
      <c r="J20" s="18"/>
      <c r="K20" s="18"/>
    </row>
    <row r="21" spans="8:11" x14ac:dyDescent="0.25">
      <c r="H21" s="18"/>
      <c r="I21" s="18"/>
      <c r="J21" s="18"/>
      <c r="K21" s="18"/>
    </row>
    <row r="22" spans="8:11" x14ac:dyDescent="0.25">
      <c r="H22" s="18"/>
      <c r="I22" s="18"/>
      <c r="J22" s="18"/>
      <c r="K22" s="18"/>
    </row>
    <row r="23" spans="8:11" x14ac:dyDescent="0.25">
      <c r="H23" s="18"/>
      <c r="I23" s="18"/>
      <c r="J23" s="18"/>
      <c r="K23" s="18"/>
    </row>
    <row r="24" spans="8:11" x14ac:dyDescent="0.25">
      <c r="H24" s="18"/>
      <c r="I24" s="18"/>
      <c r="J24" s="18"/>
      <c r="K24" s="18"/>
    </row>
    <row r="25" spans="8:11" x14ac:dyDescent="0.25">
      <c r="H25" s="18"/>
      <c r="I25" s="18"/>
      <c r="J25" s="18"/>
      <c r="K25" s="18"/>
    </row>
    <row r="26" spans="8:11" x14ac:dyDescent="0.25">
      <c r="H26" s="18"/>
      <c r="I26" s="18"/>
      <c r="J26" s="18"/>
      <c r="K26" s="18"/>
    </row>
    <row r="27" spans="8:11" x14ac:dyDescent="0.25">
      <c r="H27" s="18"/>
      <c r="I27" s="18"/>
      <c r="J27" s="18"/>
      <c r="K27" s="18"/>
    </row>
    <row r="28" spans="8:11" x14ac:dyDescent="0.25">
      <c r="H28" s="18"/>
      <c r="I28" s="18"/>
      <c r="J28" s="18"/>
      <c r="K28" s="18"/>
    </row>
    <row r="29" spans="8:11" x14ac:dyDescent="0.25">
      <c r="H29" s="18"/>
      <c r="I29" s="18"/>
      <c r="J29" s="18"/>
      <c r="K29" s="18"/>
    </row>
    <row r="30" spans="8:11" x14ac:dyDescent="0.25">
      <c r="H30" s="18"/>
      <c r="I30" s="18"/>
      <c r="J30" s="18"/>
      <c r="K30" s="18"/>
    </row>
    <row r="31" spans="8:11" x14ac:dyDescent="0.25">
      <c r="H31" s="18"/>
      <c r="I31" s="18"/>
      <c r="J31" s="18"/>
      <c r="K31" s="18"/>
    </row>
    <row r="32" spans="8:11" x14ac:dyDescent="0.25">
      <c r="H32" s="18"/>
      <c r="I32" s="18"/>
      <c r="J32" s="18"/>
      <c r="K32" s="18"/>
    </row>
    <row r="33" spans="8:11" x14ac:dyDescent="0.25">
      <c r="H33" s="18"/>
      <c r="I33" s="18"/>
      <c r="J33" s="18"/>
      <c r="K33" s="18"/>
    </row>
    <row r="34" spans="8:11" x14ac:dyDescent="0.25">
      <c r="H34" s="18"/>
      <c r="I34" s="18"/>
      <c r="J34" s="18"/>
      <c r="K34" s="18"/>
    </row>
    <row r="35" spans="8:11" x14ac:dyDescent="0.25">
      <c r="H35" s="18"/>
      <c r="I35" s="18"/>
      <c r="J35" s="18"/>
      <c r="K35" s="18"/>
    </row>
    <row r="36" spans="8:11" x14ac:dyDescent="0.25">
      <c r="H36" s="18"/>
      <c r="I36" s="18"/>
      <c r="J36" s="18"/>
      <c r="K36" s="18"/>
    </row>
    <row r="37" spans="8:11" x14ac:dyDescent="0.25">
      <c r="H37" s="18"/>
      <c r="I37" s="18"/>
      <c r="J37" s="18"/>
      <c r="K37" s="18"/>
    </row>
    <row r="38" spans="8:11" x14ac:dyDescent="0.25">
      <c r="H38" s="18"/>
      <c r="I38" s="18"/>
      <c r="J38" s="18"/>
      <c r="K38" s="18"/>
    </row>
    <row r="39" spans="8:11" x14ac:dyDescent="0.25">
      <c r="H39" s="18"/>
      <c r="I39" s="18"/>
      <c r="J39" s="18"/>
      <c r="K39" s="18"/>
    </row>
    <row r="40" spans="8:11" x14ac:dyDescent="0.25">
      <c r="H40" s="18"/>
      <c r="I40" s="18"/>
      <c r="J40" s="18"/>
      <c r="K40" s="18"/>
    </row>
    <row r="41" spans="8:11" x14ac:dyDescent="0.25">
      <c r="H41" s="18"/>
      <c r="I41" s="18"/>
      <c r="J41" s="18"/>
      <c r="K41" s="18"/>
    </row>
    <row r="42" spans="8:11" x14ac:dyDescent="0.25">
      <c r="H42" s="18"/>
      <c r="I42" s="18"/>
      <c r="J42" s="18"/>
      <c r="K42" s="18"/>
    </row>
    <row r="43" spans="8:11" x14ac:dyDescent="0.25">
      <c r="H43" s="18"/>
      <c r="I43" s="18"/>
      <c r="J43" s="18"/>
      <c r="K43" s="18"/>
    </row>
    <row r="44" spans="8:11" x14ac:dyDescent="0.25">
      <c r="H44" s="18"/>
      <c r="I44" s="18"/>
      <c r="J44" s="18"/>
      <c r="K44" s="18"/>
    </row>
    <row r="45" spans="8:11" x14ac:dyDescent="0.25">
      <c r="H45" s="18"/>
      <c r="I45" s="18"/>
      <c r="J45" s="18"/>
      <c r="K45" s="18"/>
    </row>
    <row r="46" spans="8:11" x14ac:dyDescent="0.25">
      <c r="H46" s="18"/>
      <c r="I46" s="18"/>
      <c r="J46" s="18"/>
      <c r="K46" s="18"/>
    </row>
    <row r="47" spans="8:11" x14ac:dyDescent="0.25">
      <c r="H47" s="18"/>
      <c r="I47" s="18"/>
      <c r="J47" s="18"/>
      <c r="K47" s="18"/>
    </row>
    <row r="48" spans="8:11" x14ac:dyDescent="0.25">
      <c r="H48" s="18"/>
      <c r="I48" s="18"/>
      <c r="J48" s="18"/>
      <c r="K48" s="18"/>
    </row>
    <row r="49" spans="8:11" x14ac:dyDescent="0.25">
      <c r="H49" s="18"/>
      <c r="I49" s="18"/>
      <c r="J49" s="18"/>
      <c r="K49" s="18"/>
    </row>
    <row r="50" spans="8:11" x14ac:dyDescent="0.25">
      <c r="H50" s="18"/>
      <c r="I50" s="18"/>
      <c r="J50" s="18"/>
      <c r="K50" s="18"/>
    </row>
    <row r="51" spans="8:11" x14ac:dyDescent="0.25">
      <c r="H51" s="18"/>
      <c r="I51" s="18"/>
      <c r="J51" s="18"/>
      <c r="K51" s="18"/>
    </row>
    <row r="52" spans="8:11" x14ac:dyDescent="0.25">
      <c r="H52" s="18"/>
      <c r="I52" s="18"/>
      <c r="J52" s="18"/>
      <c r="K52" s="18"/>
    </row>
    <row r="53" spans="8:11" x14ac:dyDescent="0.25">
      <c r="H53" s="18"/>
      <c r="I53" s="18"/>
      <c r="J53" s="18"/>
      <c r="K53" s="18"/>
    </row>
    <row r="54" spans="8:11" x14ac:dyDescent="0.25">
      <c r="H54" s="18"/>
      <c r="I54" s="18"/>
      <c r="J54" s="18"/>
      <c r="K54" s="18"/>
    </row>
    <row r="55" spans="8:11" x14ac:dyDescent="0.25">
      <c r="H55" s="18"/>
      <c r="I55" s="18"/>
      <c r="J55" s="18"/>
      <c r="K55" s="18"/>
    </row>
    <row r="56" spans="8:11" x14ac:dyDescent="0.25">
      <c r="H56" s="18"/>
      <c r="I56" s="18"/>
      <c r="J56" s="18"/>
      <c r="K56" s="18"/>
    </row>
    <row r="57" spans="8:11" x14ac:dyDescent="0.25">
      <c r="H57" s="18"/>
      <c r="I57" s="18"/>
      <c r="J57" s="18"/>
      <c r="K57" s="18"/>
    </row>
    <row r="58" spans="8:11" x14ac:dyDescent="0.25">
      <c r="H58" s="18"/>
      <c r="I58" s="18"/>
      <c r="J58" s="18"/>
      <c r="K58" s="18"/>
    </row>
    <row r="59" spans="8:11" x14ac:dyDescent="0.25">
      <c r="H59" s="18"/>
      <c r="I59" s="18"/>
      <c r="J59" s="18"/>
      <c r="K59" s="18"/>
    </row>
    <row r="60" spans="8:11" x14ac:dyDescent="0.25">
      <c r="H60" s="18"/>
      <c r="I60" s="18"/>
      <c r="J60" s="18"/>
      <c r="K60" s="18"/>
    </row>
    <row r="61" spans="8:11" x14ac:dyDescent="0.25">
      <c r="H61" s="18"/>
      <c r="I61" s="18"/>
      <c r="J61" s="18"/>
      <c r="K61" s="18"/>
    </row>
    <row r="62" spans="8:11" x14ac:dyDescent="0.25">
      <c r="H62" s="18"/>
      <c r="I62" s="18"/>
      <c r="J62" s="18"/>
      <c r="K62" s="18"/>
    </row>
    <row r="63" spans="8:11" x14ac:dyDescent="0.25">
      <c r="H63" s="18"/>
      <c r="I63" s="18"/>
      <c r="J63" s="18"/>
      <c r="K63" s="18"/>
    </row>
    <row r="64" spans="8:11" x14ac:dyDescent="0.25">
      <c r="H64" s="18"/>
      <c r="I64" s="18"/>
      <c r="J64" s="18"/>
      <c r="K64" s="18"/>
    </row>
    <row r="65" spans="8:11" x14ac:dyDescent="0.25">
      <c r="H65" s="18"/>
      <c r="I65" s="18"/>
      <c r="J65" s="18"/>
      <c r="K65" s="18"/>
    </row>
    <row r="66" spans="8:11" x14ac:dyDescent="0.25">
      <c r="H66" s="18"/>
      <c r="I66" s="18"/>
      <c r="J66" s="18"/>
      <c r="K66" s="18"/>
    </row>
    <row r="67" spans="8:11" x14ac:dyDescent="0.25">
      <c r="H67" s="18"/>
      <c r="I67" s="18"/>
      <c r="J67" s="18"/>
      <c r="K67" s="18"/>
    </row>
    <row r="68" spans="8:11" x14ac:dyDescent="0.25">
      <c r="H68" s="18"/>
      <c r="I68" s="18"/>
      <c r="J68" s="18"/>
      <c r="K68" s="18"/>
    </row>
    <row r="69" spans="8:11" x14ac:dyDescent="0.25">
      <c r="H69" s="18"/>
      <c r="I69" s="18"/>
      <c r="J69" s="18"/>
      <c r="K69" s="18"/>
    </row>
    <row r="70" spans="8:11" x14ac:dyDescent="0.25">
      <c r="H70" s="18"/>
      <c r="I70" s="18"/>
      <c r="J70" s="18"/>
      <c r="K70" s="18"/>
    </row>
    <row r="71" spans="8:11" x14ac:dyDescent="0.25">
      <c r="H71" s="18"/>
      <c r="I71" s="18"/>
      <c r="J71" s="18"/>
      <c r="K71" s="18"/>
    </row>
    <row r="72" spans="8:11" x14ac:dyDescent="0.25">
      <c r="H72" s="18"/>
      <c r="I72" s="18"/>
      <c r="J72" s="18"/>
      <c r="K72" s="18"/>
    </row>
    <row r="73" spans="8:11" x14ac:dyDescent="0.25">
      <c r="H73" s="18"/>
      <c r="I73" s="18"/>
      <c r="J73" s="18"/>
      <c r="K73" s="18"/>
    </row>
    <row r="74" spans="8:11" x14ac:dyDescent="0.25">
      <c r="H74" s="18"/>
      <c r="I74" s="18"/>
      <c r="J74" s="18"/>
      <c r="K74" s="18"/>
    </row>
    <row r="75" spans="8:11" x14ac:dyDescent="0.25">
      <c r="H75" s="18"/>
      <c r="I75" s="18"/>
      <c r="J75" s="18"/>
      <c r="K75" s="18"/>
    </row>
    <row r="76" spans="8:11" x14ac:dyDescent="0.25">
      <c r="H76" s="18"/>
      <c r="I76" s="18"/>
      <c r="J76" s="18"/>
      <c r="K76" s="18"/>
    </row>
    <row r="77" spans="8:11" x14ac:dyDescent="0.25">
      <c r="H77" s="18"/>
      <c r="I77" s="18"/>
      <c r="J77" s="18"/>
      <c r="K77" s="18"/>
    </row>
    <row r="78" spans="8:11" x14ac:dyDescent="0.25">
      <c r="H78" s="18"/>
      <c r="I78" s="18"/>
      <c r="J78" s="18"/>
      <c r="K78" s="18"/>
    </row>
    <row r="79" spans="8:11" x14ac:dyDescent="0.25">
      <c r="H79" s="18"/>
      <c r="I79" s="18"/>
      <c r="J79" s="18"/>
      <c r="K79" s="18"/>
    </row>
    <row r="80" spans="8:11" x14ac:dyDescent="0.25">
      <c r="H80" s="18"/>
      <c r="I80" s="18"/>
      <c r="J80" s="18"/>
      <c r="K80" s="18"/>
    </row>
    <row r="81" spans="8:11" x14ac:dyDescent="0.25">
      <c r="H81" s="18"/>
      <c r="I81" s="18"/>
      <c r="J81" s="18"/>
      <c r="K81" s="18"/>
    </row>
    <row r="82" spans="8:11" x14ac:dyDescent="0.25">
      <c r="H82" s="18"/>
      <c r="I82" s="18"/>
      <c r="J82" s="18"/>
      <c r="K82" s="18"/>
    </row>
    <row r="83" spans="8:11" x14ac:dyDescent="0.25">
      <c r="H83" s="18"/>
      <c r="I83" s="18"/>
      <c r="J83" s="18"/>
      <c r="K83" s="18"/>
    </row>
    <row r="84" spans="8:11" x14ac:dyDescent="0.25">
      <c r="H84" s="18"/>
      <c r="I84" s="18"/>
      <c r="J84" s="18"/>
      <c r="K84" s="18"/>
    </row>
    <row r="85" spans="8:11" x14ac:dyDescent="0.25">
      <c r="H85" s="18"/>
      <c r="I85" s="18"/>
      <c r="J85" s="18"/>
      <c r="K85" s="18"/>
    </row>
    <row r="86" spans="8:11" x14ac:dyDescent="0.25">
      <c r="H86" s="18"/>
      <c r="I86" s="18"/>
      <c r="J86" s="18"/>
      <c r="K86" s="18"/>
    </row>
    <row r="87" spans="8:11" x14ac:dyDescent="0.25">
      <c r="H87" s="18"/>
      <c r="I87" s="18"/>
      <c r="J87" s="18"/>
      <c r="K87" s="18"/>
    </row>
    <row r="88" spans="8:11" x14ac:dyDescent="0.25">
      <c r="H88" s="18"/>
      <c r="I88" s="18"/>
      <c r="J88" s="18"/>
      <c r="K88" s="18"/>
    </row>
    <row r="89" spans="8:11" x14ac:dyDescent="0.25">
      <c r="H89" s="18"/>
      <c r="I89" s="18"/>
      <c r="J89" s="18"/>
      <c r="K89" s="18"/>
    </row>
    <row r="90" spans="8:11" x14ac:dyDescent="0.25">
      <c r="H90" s="18"/>
      <c r="I90" s="18"/>
      <c r="J90" s="18"/>
      <c r="K90" s="18"/>
    </row>
    <row r="91" spans="8:11" x14ac:dyDescent="0.25">
      <c r="H91" s="18"/>
      <c r="I91" s="18"/>
      <c r="J91" s="18"/>
      <c r="K91" s="18"/>
    </row>
    <row r="92" spans="8:11" x14ac:dyDescent="0.25">
      <c r="H92" s="18"/>
      <c r="I92" s="18"/>
      <c r="J92" s="18"/>
      <c r="K92" s="18"/>
    </row>
    <row r="93" spans="8:11" x14ac:dyDescent="0.25">
      <c r="H93" s="18"/>
      <c r="I93" s="18"/>
      <c r="J93" s="18"/>
      <c r="K93" s="18"/>
    </row>
    <row r="94" spans="8:11" x14ac:dyDescent="0.25">
      <c r="H94" s="18"/>
      <c r="I94" s="18"/>
      <c r="J94" s="18"/>
      <c r="K94" s="18"/>
    </row>
    <row r="95" spans="8:11" x14ac:dyDescent="0.25">
      <c r="H95" s="18"/>
      <c r="I95" s="18"/>
      <c r="J95" s="18"/>
      <c r="K95" s="18"/>
    </row>
    <row r="96" spans="8:11" x14ac:dyDescent="0.25">
      <c r="H96" s="18"/>
      <c r="I96" s="18"/>
      <c r="J96" s="18"/>
      <c r="K96" s="18"/>
    </row>
    <row r="97" spans="8:11" x14ac:dyDescent="0.25">
      <c r="H97" s="18"/>
      <c r="I97" s="18"/>
      <c r="J97" s="18"/>
      <c r="K97" s="18"/>
    </row>
    <row r="98" spans="8:11" x14ac:dyDescent="0.25">
      <c r="H98" s="18"/>
      <c r="I98" s="18"/>
      <c r="J98" s="18"/>
      <c r="K98" s="18"/>
    </row>
    <row r="99" spans="8:11" x14ac:dyDescent="0.25">
      <c r="H99" s="18"/>
      <c r="I99" s="18"/>
      <c r="J99" s="18"/>
      <c r="K99" s="18"/>
    </row>
    <row r="100" spans="8:11" x14ac:dyDescent="0.25">
      <c r="H100" s="18"/>
      <c r="I100" s="18"/>
      <c r="J100" s="18"/>
      <c r="K100" s="18"/>
    </row>
    <row r="101" spans="8:11" x14ac:dyDescent="0.25">
      <c r="H101" s="18"/>
      <c r="I101" s="18"/>
      <c r="J101" s="18"/>
      <c r="K101" s="18"/>
    </row>
    <row r="102" spans="8:11" x14ac:dyDescent="0.25">
      <c r="H102" s="18"/>
      <c r="I102" s="18"/>
      <c r="J102" s="18"/>
      <c r="K102" s="18"/>
    </row>
    <row r="103" spans="8:11" x14ac:dyDescent="0.25">
      <c r="H103" s="18"/>
      <c r="I103" s="18"/>
      <c r="J103" s="18"/>
      <c r="K103" s="18"/>
    </row>
    <row r="104" spans="8:11" x14ac:dyDescent="0.25">
      <c r="H104" s="18"/>
      <c r="I104" s="18"/>
      <c r="J104" s="18"/>
      <c r="K104" s="1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0"/>
  <sheetViews>
    <sheetView zoomScale="160" zoomScaleNormal="160" workbookViewId="0">
      <selection activeCell="C10" sqref="C10"/>
    </sheetView>
  </sheetViews>
  <sheetFormatPr defaultRowHeight="15" x14ac:dyDescent="0.25"/>
  <cols>
    <col min="1" max="1" width="9.5703125" style="1" bestFit="1" customWidth="1"/>
    <col min="2" max="2" width="15.7109375" style="1" bestFit="1" customWidth="1"/>
    <col min="3" max="3" width="11.7109375" style="1" bestFit="1" customWidth="1"/>
    <col min="4" max="4" width="11.42578125" style="1" bestFit="1" customWidth="1"/>
    <col min="6" max="6" width="10.140625" bestFit="1" customWidth="1"/>
    <col min="7" max="7" width="11.140625" bestFit="1" customWidth="1"/>
  </cols>
  <sheetData>
    <row r="2" spans="1:6" ht="18" x14ac:dyDescent="0.35">
      <c r="A2" s="6" t="s">
        <v>6</v>
      </c>
      <c r="B2" s="6" t="s">
        <v>1</v>
      </c>
      <c r="C2" s="6" t="s">
        <v>5</v>
      </c>
      <c r="D2" s="6" t="s">
        <v>30</v>
      </c>
    </row>
    <row r="3" spans="1:6" x14ac:dyDescent="0.25">
      <c r="A3" s="3" t="s">
        <v>8</v>
      </c>
      <c r="B3" s="3" t="s">
        <v>7</v>
      </c>
      <c r="C3" s="4">
        <v>12404.5008</v>
      </c>
      <c r="D3" s="5">
        <f>C3/'Material streams'!$D$13</f>
        <v>0.33254417409337816</v>
      </c>
      <c r="E3" s="15"/>
      <c r="F3" s="15"/>
    </row>
    <row r="4" spans="1:6" x14ac:dyDescent="0.25">
      <c r="A4" s="3" t="s">
        <v>39</v>
      </c>
      <c r="B4" s="3" t="s">
        <v>7</v>
      </c>
      <c r="C4" s="4">
        <v>5465.3973400000004</v>
      </c>
      <c r="D4" s="5">
        <f>C4/'Material streams'!$D$13</f>
        <v>0.1465182737964309</v>
      </c>
      <c r="E4" s="15"/>
      <c r="F4" s="15"/>
    </row>
    <row r="5" spans="1:6" x14ac:dyDescent="0.25">
      <c r="A5" s="3" t="s">
        <v>40</v>
      </c>
      <c r="B5" s="3" t="s">
        <v>7</v>
      </c>
      <c r="C5" s="4">
        <v>459.68808100000001</v>
      </c>
      <c r="D5" s="5">
        <f>C5/'Material streams'!$D$13</f>
        <v>1.2323478042479139E-2</v>
      </c>
      <c r="E5" s="15"/>
      <c r="F5" s="15"/>
    </row>
    <row r="6" spans="1:6" x14ac:dyDescent="0.25">
      <c r="A6" s="3" t="s">
        <v>41</v>
      </c>
      <c r="B6" s="3" t="s">
        <v>7</v>
      </c>
      <c r="C6" s="4">
        <v>207.32995</v>
      </c>
      <c r="D6" s="5">
        <f>C6/'Material streams'!$D$13</f>
        <v>5.5581734484286046E-3</v>
      </c>
      <c r="E6" s="15"/>
      <c r="F6" s="15"/>
    </row>
    <row r="7" spans="1:6" x14ac:dyDescent="0.25">
      <c r="A7" s="3" t="s">
        <v>42</v>
      </c>
      <c r="B7" s="3" t="s">
        <v>7</v>
      </c>
      <c r="C7" s="4">
        <v>1359.2785200000001</v>
      </c>
      <c r="D7" s="5">
        <f>C7/'Material streams'!$D$13</f>
        <v>3.6440011580012102E-2</v>
      </c>
      <c r="E7" s="15"/>
      <c r="F7" s="15"/>
    </row>
    <row r="8" spans="1:6" x14ac:dyDescent="0.25">
      <c r="A8" s="3" t="s">
        <v>43</v>
      </c>
      <c r="B8" s="3" t="s">
        <v>7</v>
      </c>
      <c r="C8" s="4">
        <v>516.06535899999994</v>
      </c>
      <c r="D8" s="5">
        <f>C8/'Material streams'!$D$13</f>
        <v>1.3834859729853674E-2</v>
      </c>
      <c r="E8" s="15"/>
      <c r="F8" s="15"/>
    </row>
    <row r="9" spans="1:6" x14ac:dyDescent="0.25">
      <c r="A9" s="3" t="s">
        <v>32</v>
      </c>
      <c r="B9" s="16" t="s">
        <v>33</v>
      </c>
      <c r="C9" s="4">
        <v>4.1461979600000003</v>
      </c>
      <c r="D9" s="5">
        <f>C9/'Material streams'!$D$13</f>
        <v>1.1115271774869404E-4</v>
      </c>
      <c r="E9" s="15"/>
      <c r="F9" s="15"/>
    </row>
    <row r="10" spans="1:6" ht="14.25" customHeight="1" x14ac:dyDescent="0.25">
      <c r="A10" s="3"/>
      <c r="B10" s="12" t="s">
        <v>9</v>
      </c>
      <c r="C10" s="13">
        <f>SUM(C3:C9)</f>
        <v>20416.40624796</v>
      </c>
      <c r="D10" s="17">
        <f>SUM(D3:D9)</f>
        <v>0.5473301234083312</v>
      </c>
      <c r="E10" s="14"/>
      <c r="F10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zoomScale="145" zoomScaleNormal="145" workbookViewId="0">
      <selection activeCell="C4" sqref="C4"/>
    </sheetView>
  </sheetViews>
  <sheetFormatPr defaultRowHeight="15" x14ac:dyDescent="0.25"/>
  <cols>
    <col min="1" max="1" width="26" customWidth="1"/>
    <col min="2" max="2" width="19.85546875" bestFit="1" customWidth="1"/>
    <col min="3" max="3" width="21.28515625" bestFit="1" customWidth="1"/>
    <col min="4" max="4" width="19.140625" bestFit="1" customWidth="1"/>
    <col min="5" max="5" width="6.7109375" bestFit="1" customWidth="1"/>
    <col min="6" max="6" width="4.7109375" bestFit="1" customWidth="1"/>
    <col min="7" max="7" width="5.28515625" bestFit="1" customWidth="1"/>
    <col min="8" max="8" width="12.140625" bestFit="1" customWidth="1"/>
    <col min="11" max="11" width="13" bestFit="1" customWidth="1"/>
  </cols>
  <sheetData>
    <row r="1" spans="1:8" ht="18" x14ac:dyDescent="0.35">
      <c r="A1" s="6" t="s">
        <v>10</v>
      </c>
      <c r="B1" s="6" t="s">
        <v>11</v>
      </c>
      <c r="C1" s="6" t="s">
        <v>29</v>
      </c>
      <c r="D1" s="8" t="s">
        <v>31</v>
      </c>
    </row>
    <row r="2" spans="1:8" x14ac:dyDescent="0.25">
      <c r="A2" s="3" t="s">
        <v>27</v>
      </c>
      <c r="B2" s="4">
        <v>155874111.740109</v>
      </c>
      <c r="C2" s="4">
        <f>B2/B9/E9</f>
        <v>91523.757700727496</v>
      </c>
      <c r="D2" s="4">
        <f>C2/'Material streams'!$D$13</f>
        <v>2.4536007458285529</v>
      </c>
      <c r="H2" s="10"/>
    </row>
    <row r="3" spans="1:8" x14ac:dyDescent="0.25">
      <c r="A3" s="3" t="s">
        <v>17</v>
      </c>
      <c r="B3" s="4">
        <v>482781209.37728101</v>
      </c>
      <c r="C3" s="4">
        <f>B3/B10/E10</f>
        <v>23083012.6405585</v>
      </c>
      <c r="D3" s="4">
        <f>C3/'Material streams'!$D$13</f>
        <v>618.81743553449041</v>
      </c>
      <c r="E3" s="21"/>
    </row>
    <row r="4" spans="1:8" x14ac:dyDescent="0.25">
      <c r="A4" s="3" t="s">
        <v>46</v>
      </c>
      <c r="B4" s="4">
        <v>10473813.7119851</v>
      </c>
      <c r="C4" s="4">
        <f>B4/B11/E11</f>
        <v>222.37396416104247</v>
      </c>
      <c r="D4" s="4">
        <f>C4/'Material streams'!$D$13</f>
        <v>5.9614786152300736E-3</v>
      </c>
      <c r="H4" s="10"/>
    </row>
    <row r="7" spans="1:8" x14ac:dyDescent="0.25">
      <c r="A7" s="7" t="s">
        <v>28</v>
      </c>
    </row>
    <row r="8" spans="1:8" ht="18" x14ac:dyDescent="0.35">
      <c r="A8" s="6" t="s">
        <v>10</v>
      </c>
      <c r="B8" s="6" t="s">
        <v>12</v>
      </c>
      <c r="C8" s="9" t="s">
        <v>14</v>
      </c>
      <c r="D8" s="9" t="s">
        <v>15</v>
      </c>
      <c r="E8" s="9" t="s">
        <v>13</v>
      </c>
    </row>
    <row r="9" spans="1:8" x14ac:dyDescent="0.25">
      <c r="A9" s="3" t="s">
        <v>27</v>
      </c>
      <c r="B9" s="3">
        <v>1703.1</v>
      </c>
      <c r="C9" s="3">
        <v>249</v>
      </c>
      <c r="D9" s="3">
        <v>250</v>
      </c>
      <c r="E9" s="3">
        <f>D9-C9</f>
        <v>1</v>
      </c>
    </row>
    <row r="10" spans="1:8" x14ac:dyDescent="0.25">
      <c r="A10" s="3" t="s">
        <v>17</v>
      </c>
      <c r="B10" s="4">
        <v>4.1829999999999998</v>
      </c>
      <c r="C10" s="3">
        <v>15</v>
      </c>
      <c r="D10" s="3">
        <v>20</v>
      </c>
      <c r="E10" s="3">
        <f>D10-C10</f>
        <v>5</v>
      </c>
    </row>
    <row r="11" spans="1:8" x14ac:dyDescent="0.25">
      <c r="A11" s="3" t="s">
        <v>46</v>
      </c>
      <c r="B11" s="3">
        <v>47100</v>
      </c>
      <c r="C11" s="3">
        <v>1247</v>
      </c>
      <c r="D11" s="3">
        <v>1246</v>
      </c>
      <c r="E11" s="3">
        <f>C11-D11</f>
        <v>1</v>
      </c>
    </row>
    <row r="13" spans="1:8" x14ac:dyDescent="0.25">
      <c r="E13" s="11"/>
    </row>
    <row r="14" spans="1:8" x14ac:dyDescent="0.25">
      <c r="A14" t="s">
        <v>16</v>
      </c>
      <c r="E14" s="11"/>
    </row>
    <row r="15" spans="1:8" x14ac:dyDescent="0.25">
      <c r="E15" s="11"/>
    </row>
    <row r="16" spans="1:8" x14ac:dyDescent="0.25">
      <c r="D16" s="11"/>
      <c r="E16" s="11"/>
    </row>
    <row r="17" spans="4:5" x14ac:dyDescent="0.25">
      <c r="E17" s="11"/>
    </row>
    <row r="18" spans="4:5" x14ac:dyDescent="0.25">
      <c r="D18" s="11"/>
      <c r="E18" s="11"/>
    </row>
    <row r="19" spans="4:5" x14ac:dyDescent="0.25">
      <c r="E19" s="11"/>
    </row>
    <row r="20" spans="4:5" x14ac:dyDescent="0.25">
      <c r="E20" s="11"/>
    </row>
    <row r="21" spans="4:5" x14ac:dyDescent="0.25">
      <c r="E21" s="11"/>
    </row>
    <row r="22" spans="4:5" x14ac:dyDescent="0.25">
      <c r="E22" s="11"/>
    </row>
    <row r="23" spans="4:5" x14ac:dyDescent="0.25">
      <c r="D23" s="11"/>
      <c r="E23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 streams</vt:lpstr>
      <vt:lpstr>Electricity</vt:lpstr>
      <vt:lpstr>Utilities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2020-04-23T14:14:32Z</dcterms:created>
  <dcterms:modified xsi:type="dcterms:W3CDTF">2025-01-06T07:51:35Z</dcterms:modified>
</cp:coreProperties>
</file>