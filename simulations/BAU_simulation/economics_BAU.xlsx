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BAU_simulation\"/>
    </mc:Choice>
  </mc:AlternateContent>
  <xr:revisionPtr revIDLastSave="0" documentId="13_ncr:1_{298F2E08-1EA7-4F2B-A7CB-E3639624208F}" xr6:coauthVersionLast="36" xr6:coauthVersionMax="36" xr10:uidLastSave="{00000000-0000-0000-0000-000000000000}"/>
  <bookViews>
    <workbookView xWindow="0" yWindow="0" windowWidth="17265" windowHeight="5775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" i="11" l="1"/>
  <c r="L31" i="11"/>
  <c r="L30" i="11"/>
  <c r="L29" i="11"/>
  <c r="L28" i="11"/>
  <c r="F33" i="11"/>
  <c r="F32" i="11"/>
  <c r="F31" i="11"/>
  <c r="F30" i="11"/>
  <c r="F29" i="11"/>
  <c r="F28" i="11"/>
  <c r="L33" i="11" l="1"/>
  <c r="I26" i="11" l="1"/>
  <c r="D10" i="8"/>
  <c r="H10" i="8"/>
  <c r="J10" i="8" s="1"/>
  <c r="D9" i="8"/>
  <c r="D7" i="8"/>
  <c r="D6" i="8"/>
  <c r="L16" i="7"/>
  <c r="L15" i="7"/>
  <c r="L14" i="7"/>
  <c r="L13" i="7"/>
  <c r="L19" i="7"/>
  <c r="L18" i="7"/>
  <c r="L17" i="7"/>
  <c r="D38" i="7"/>
  <c r="H38" i="7" s="1"/>
  <c r="D37" i="7"/>
  <c r="H37" i="7" s="1"/>
  <c r="D36" i="7"/>
  <c r="H36" i="7" s="1"/>
  <c r="D35" i="7"/>
  <c r="H35" i="7" s="1"/>
  <c r="D34" i="7"/>
  <c r="H34" i="7" s="1"/>
  <c r="D33" i="7"/>
  <c r="H33" i="7" s="1"/>
  <c r="D32" i="7"/>
  <c r="H32" i="7" s="1"/>
  <c r="D31" i="7"/>
  <c r="H31" i="7" s="1"/>
  <c r="D30" i="7"/>
  <c r="H30" i="7" s="1"/>
  <c r="D29" i="7"/>
  <c r="H29" i="7" s="1"/>
  <c r="D28" i="7"/>
  <c r="H28" i="7" s="1"/>
  <c r="D27" i="7"/>
  <c r="H27" i="7" s="1"/>
  <c r="D26" i="7"/>
  <c r="H26" i="7" s="1"/>
  <c r="D25" i="7"/>
  <c r="H25" i="7" s="1"/>
  <c r="D24" i="7"/>
  <c r="H24" i="7" s="1"/>
  <c r="D23" i="7"/>
  <c r="H23" i="7" s="1"/>
  <c r="H12" i="8" l="1"/>
  <c r="H13" i="8"/>
  <c r="G10" i="8"/>
  <c r="I10" i="8" l="1"/>
  <c r="G12" i="8"/>
  <c r="G13" i="8"/>
  <c r="M16" i="7" l="1"/>
  <c r="N16" i="7" s="1"/>
  <c r="O16" i="7" s="1"/>
  <c r="Q16" i="7" s="1"/>
  <c r="D47" i="7" s="1"/>
  <c r="H47" i="7" s="1"/>
  <c r="H19" i="7"/>
  <c r="H18" i="7"/>
  <c r="H17" i="7"/>
  <c r="H16" i="7"/>
  <c r="H15" i="7"/>
  <c r="M19" i="7" l="1"/>
  <c r="N19" i="7" s="1"/>
  <c r="O19" i="7" s="1"/>
  <c r="Q19" i="7" s="1"/>
  <c r="D42" i="7" s="1"/>
  <c r="H42" i="7" s="1"/>
  <c r="M18" i="7"/>
  <c r="N18" i="7" s="1"/>
  <c r="O18" i="7" s="1"/>
  <c r="Q18" i="7" s="1"/>
  <c r="D41" i="7" s="1"/>
  <c r="H41" i="7" s="1"/>
  <c r="M15" i="7"/>
  <c r="N15" i="7" s="1"/>
  <c r="O15" i="7" s="1"/>
  <c r="Q15" i="7" s="1"/>
  <c r="D46" i="7" s="1"/>
  <c r="H46" i="7" s="1"/>
  <c r="M14" i="7"/>
  <c r="N14" i="7" s="1"/>
  <c r="O14" i="7" s="1"/>
  <c r="Q14" i="7" s="1"/>
  <c r="D45" i="7" s="1"/>
  <c r="H45" i="7" s="1"/>
  <c r="H21" i="7"/>
  <c r="H14" i="7"/>
  <c r="E5" i="8" l="1"/>
  <c r="F5" i="8" s="1"/>
  <c r="L17" i="11" l="1"/>
  <c r="L16" i="11"/>
  <c r="L15" i="11"/>
  <c r="I14" i="11"/>
  <c r="I13" i="11"/>
  <c r="I12" i="11"/>
  <c r="I11" i="11"/>
  <c r="H11" i="8"/>
  <c r="J11" i="8" s="1"/>
  <c r="G11" i="8"/>
  <c r="I11" i="8" s="1"/>
  <c r="G9" i="8"/>
  <c r="I9" i="8" s="1"/>
  <c r="H5" i="8"/>
  <c r="J5" i="8" s="1"/>
  <c r="G5" i="8"/>
  <c r="I5" i="8" s="1"/>
  <c r="H7" i="8"/>
  <c r="J7" i="8" s="1"/>
  <c r="G7" i="8"/>
  <c r="I7" i="8" s="1"/>
  <c r="H6" i="8"/>
  <c r="J6" i="8" s="1"/>
  <c r="G6" i="8"/>
  <c r="I6" i="8" s="1"/>
  <c r="I20" i="11" l="1"/>
  <c r="C20" i="11"/>
  <c r="F9" i="8"/>
  <c r="H9" i="8" s="1"/>
  <c r="L20" i="11" l="1"/>
  <c r="J9" i="8"/>
  <c r="F20" i="11"/>
  <c r="F14" i="11"/>
  <c r="L14" i="11" s="1"/>
  <c r="F13" i="11"/>
  <c r="L13" i="11" s="1"/>
  <c r="F12" i="11"/>
  <c r="L12" i="11" s="1"/>
  <c r="F11" i="11"/>
  <c r="L11" i="11" s="1"/>
  <c r="G6" i="12"/>
  <c r="G7" i="12" s="1"/>
  <c r="C65" i="7"/>
  <c r="G8" i="12" l="1"/>
  <c r="G9" i="12" s="1"/>
  <c r="C6" i="12" l="1"/>
  <c r="M17" i="7" l="1"/>
  <c r="N17" i="7" s="1"/>
  <c r="O17" i="7" s="1"/>
  <c r="Q17" i="7" s="1"/>
  <c r="D40" i="7" l="1"/>
  <c r="H40" i="7" s="1"/>
  <c r="C7" i="12" l="1"/>
  <c r="C8" i="12" l="1"/>
  <c r="C9" i="12" s="1"/>
  <c r="C16" i="11" l="1"/>
  <c r="I16" i="11" s="1"/>
  <c r="C15" i="11"/>
  <c r="I15" i="11" s="1"/>
  <c r="B65" i="7" l="1"/>
  <c r="C17" i="11" s="1"/>
  <c r="I17" i="11" s="1"/>
  <c r="M13" i="7" l="1"/>
  <c r="N13" i="7" s="1"/>
  <c r="O13" i="7" s="1"/>
  <c r="Q13" i="7" s="1"/>
  <c r="D44" i="7" s="1"/>
  <c r="H44" i="7" s="1"/>
  <c r="H48" i="7" s="1"/>
  <c r="B52" i="7" l="1"/>
  <c r="C3" i="11" s="1"/>
  <c r="I3" i="11" s="1"/>
  <c r="B53" i="7"/>
  <c r="B56" i="7" l="1"/>
  <c r="B60" i="7" s="1"/>
  <c r="C56" i="7"/>
  <c r="F3" i="11"/>
  <c r="L3" i="11" s="1"/>
  <c r="C11" i="12"/>
  <c r="B57" i="7"/>
  <c r="B59" i="7" s="1"/>
  <c r="C7" i="11" s="1"/>
  <c r="I7" i="11" s="1"/>
  <c r="C4" i="11"/>
  <c r="I4" i="11" s="1"/>
  <c r="C60" i="7" l="1"/>
  <c r="C57" i="7"/>
  <c r="C59" i="7" s="1"/>
  <c r="F7" i="11" s="1"/>
  <c r="L7" i="11" s="1"/>
  <c r="G11" i="12"/>
  <c r="F4" i="11"/>
  <c r="L4" i="11" s="1"/>
  <c r="C15" i="12"/>
  <c r="B61" i="7"/>
  <c r="C8" i="11"/>
  <c r="I8" i="11" s="1"/>
  <c r="C14" i="12"/>
  <c r="C12" i="12"/>
  <c r="B58" i="7"/>
  <c r="C6" i="11" s="1"/>
  <c r="I6" i="11" s="1"/>
  <c r="C5" i="11"/>
  <c r="I5" i="11" s="1"/>
  <c r="G15" i="12" l="1"/>
  <c r="C58" i="7"/>
  <c r="F6" i="11" s="1"/>
  <c r="L6" i="11" s="1"/>
  <c r="F5" i="11"/>
  <c r="L5" i="11" s="1"/>
  <c r="G12" i="12"/>
  <c r="G14" i="12"/>
  <c r="G16" i="12" s="1"/>
  <c r="C61" i="7"/>
  <c r="F8" i="11"/>
  <c r="L8" i="11" s="1"/>
  <c r="C16" i="12"/>
  <c r="B62" i="7"/>
  <c r="B66" i="7" s="1"/>
  <c r="B67" i="7" s="1"/>
  <c r="C18" i="11" s="1"/>
  <c r="I18" i="11" s="1"/>
  <c r="C18" i="12"/>
  <c r="C19" i="12" s="1"/>
  <c r="C9" i="11"/>
  <c r="I9" i="11" s="1"/>
  <c r="I21" i="11" l="1"/>
  <c r="I22" i="11" s="1"/>
  <c r="I24" i="11" s="1"/>
  <c r="C62" i="7"/>
  <c r="G18" i="12"/>
  <c r="G19" i="12" s="1"/>
  <c r="G20" i="12" s="1"/>
  <c r="F9" i="11"/>
  <c r="L9" i="11" s="1"/>
  <c r="C10" i="11"/>
  <c r="I10" i="11" s="1"/>
  <c r="C20" i="12"/>
  <c r="C21" i="11" s="1"/>
  <c r="C22" i="11" s="1"/>
  <c r="C24" i="11" s="1"/>
  <c r="F10" i="11" l="1"/>
  <c r="L10" i="11" s="1"/>
  <c r="C66" i="7"/>
  <c r="C67" i="7" s="1"/>
  <c r="F18" i="11" s="1"/>
  <c r="L18" i="11" l="1"/>
  <c r="F21" i="11"/>
  <c r="F22" i="11" s="1"/>
  <c r="F24" i="11" s="1"/>
  <c r="L21" i="11" l="1"/>
  <c r="L22" i="11" s="1"/>
  <c r="L24" i="11" s="1"/>
  <c r="L26" i="11"/>
</calcChain>
</file>

<file path=xl/sharedStrings.xml><?xml version="1.0" encoding="utf-8"?>
<sst xmlns="http://schemas.openxmlformats.org/spreadsheetml/2006/main" count="327" uniqueCount="143">
  <si>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</si>
  <si>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</si>
  <si>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</si>
  <si>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</si>
  <si>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</si>
  <si>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</si>
  <si>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</si>
  <si>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</si>
  <si>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</si>
  <si>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</si>
  <si>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</si>
  <si>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</si>
  <si>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</si>
  <si>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</si>
  <si>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</si>
  <si>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</si>
  <si>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</si>
  <si>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</si>
  <si>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</si>
  <si>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</si>
  <si>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</si>
  <si>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</si>
  <si>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</si>
  <si>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</si>
  <si>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</si>
  <si>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</si>
  <si>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</si>
  <si>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</si>
  <si>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</si>
  <si>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</si>
  <si>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</si>
  <si>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</si>
  <si>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</si>
  <si>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</si>
  <si>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</si>
  <si>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</si>
  <si>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</si>
  <si>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</si>
  <si>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</si>
  <si>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</si>
  <si>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</si>
  <si>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</si>
  <si>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</si>
  <si>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</si>
  <si>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</si>
  <si>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</si>
  <si>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</si>
  <si>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</si>
  <si>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</si>
  <si>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</si>
  <si>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</si>
  <si>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</si>
  <si>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</si>
  <si>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</si>
  <si>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</si>
  <si>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</si>
  <si>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</si>
  <si>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</si>
  <si>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</si>
  <si>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</si>
  <si>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</si>
  <si>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</si>
  <si>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Purchased equipment cost 2019 (M$/year)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</si>
  <si>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</si>
  <si>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</si>
  <si>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</si>
  <si>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</si>
  <si>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</si>
  <si>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</si>
  <si>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</si>
  <si>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</si>
  <si>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</si>
  <si>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</si>
  <si>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</si>
  <si>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</si>
  <si>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</si>
  <si>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</si>
  <si>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</si>
  <si>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</si>
  <si>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</si>
  <si>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</si>
  <si>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</si>
  <si>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</si>
  <si>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</si>
  <si>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</si>
  <si>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</si>
  <si>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</si>
  <si>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>2019 costs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</si>
  <si>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</si>
  <si>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</si>
  <si>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</si>
  <si>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</si>
  <si>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</si>
  <si>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</si>
  <si>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</si>
  <si>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</si>
  <si>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</si>
  <si>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</si>
  <si>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</si>
  <si>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</si>
  <si>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2019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</si>
  <si>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</si>
  <si>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</si>
  <si>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</si>
  <si>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</si>
  <si>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</si>
  <si>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</si>
  <si>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</si>
  <si>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2019 ($/unit)</t>
  </si>
  <si>
    <t>Price 2022 ($/unit)</t>
  </si>
  <si>
    <t>OPEX (fossil ammonia)</t>
  </si>
  <si>
    <t>OPEX (wind ammonia)</t>
  </si>
  <si>
    <t>Wind ammonia 2019</t>
  </si>
  <si>
    <t>Wind ammonia 2022</t>
  </si>
  <si>
    <t xml:space="preserve">Cost per kg </t>
  </si>
  <si>
    <t>Compressors</t>
  </si>
  <si>
    <t xml:space="preserve">Centrifugal Compressor </t>
  </si>
  <si>
    <t>Power, kW</t>
  </si>
  <si>
    <t>Pumps</t>
  </si>
  <si>
    <t>P-100</t>
  </si>
  <si>
    <t>Centrifugal Pump</t>
  </si>
  <si>
    <t>Flow, litres/s</t>
  </si>
  <si>
    <t>K-100</t>
  </si>
  <si>
    <t>K-101</t>
  </si>
  <si>
    <t>K-102</t>
  </si>
  <si>
    <t>K-103</t>
  </si>
  <si>
    <t>V-101</t>
  </si>
  <si>
    <t>V-102</t>
  </si>
  <si>
    <t>CRV-101</t>
  </si>
  <si>
    <t>CRV-102</t>
  </si>
  <si>
    <t>K-104</t>
  </si>
  <si>
    <t>K-105</t>
  </si>
  <si>
    <t>V-103</t>
  </si>
  <si>
    <t>E-103</t>
  </si>
  <si>
    <t>E-105</t>
  </si>
  <si>
    <t>E-106</t>
  </si>
  <si>
    <t>E-107</t>
  </si>
  <si>
    <t>E-102</t>
  </si>
  <si>
    <t>Natural gas</t>
  </si>
  <si>
    <t>Ammonia</t>
  </si>
  <si>
    <t>Heating utilities</t>
  </si>
  <si>
    <t>Cooling utilities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</si>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</sst>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zoomScale="115" zoomScaleNormal="115" workbookViewId="0">
      <selection activeCell="M21" sqref="M21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7" bestFit="1" customWidth="1"/>
    <col min="13" max="13" width="9.28515625" bestFit="1" customWidth="1"/>
    <col min="14" max="14" width="9" bestFit="1" customWidth="1"/>
    <col min="15" max="15" width="8.28515625" bestFit="1" customWidth="1"/>
    <col min="16" max="16" width="7.5703125" bestFit="1" customWidth="1"/>
    <col min="17" max="17" width="10.85546875" bestFit="1" customWidth="1"/>
  </cols>
  <sheetData>
    <row r="1" spans="1:17" x14ac:dyDescent="0.25">
      <c r="A1" s="2" t="s">
        <v>0</v>
      </c>
      <c r="B1" s="3"/>
      <c r="C1" s="3"/>
    </row>
    <row r="2" spans="1:17" ht="18" x14ac:dyDescent="0.35">
      <c r="A2" s="3" t="s">
        <v>1</v>
      </c>
      <c r="B2" s="3" t="s">
        <v>38</v>
      </c>
      <c r="C2" s="3">
        <v>0.3</v>
      </c>
    </row>
    <row r="3" spans="1:17" ht="18" x14ac:dyDescent="0.35">
      <c r="A3" s="3" t="s">
        <v>2</v>
      </c>
      <c r="B3" s="3" t="s">
        <v>39</v>
      </c>
      <c r="C3" s="3">
        <v>0.8</v>
      </c>
    </row>
    <row r="4" spans="1:17" ht="18" x14ac:dyDescent="0.35">
      <c r="A4" s="3" t="s">
        <v>3</v>
      </c>
      <c r="B4" s="3" t="s">
        <v>40</v>
      </c>
      <c r="C4" s="3">
        <v>0.3</v>
      </c>
    </row>
    <row r="5" spans="1:17" ht="18" x14ac:dyDescent="0.35">
      <c r="A5" s="3" t="s">
        <v>4</v>
      </c>
      <c r="B5" s="3" t="s">
        <v>41</v>
      </c>
      <c r="C5" s="3">
        <v>0.2</v>
      </c>
    </row>
    <row r="6" spans="1:17" ht="18" x14ac:dyDescent="0.35">
      <c r="A6" s="3" t="s">
        <v>5</v>
      </c>
      <c r="B6" s="3" t="s">
        <v>42</v>
      </c>
      <c r="C6" s="3">
        <v>0.3</v>
      </c>
    </row>
    <row r="7" spans="1:17" ht="18" x14ac:dyDescent="0.35">
      <c r="A7" s="3" t="s">
        <v>6</v>
      </c>
      <c r="B7" s="3" t="s">
        <v>43</v>
      </c>
      <c r="C7" s="3">
        <v>0.2</v>
      </c>
    </row>
    <row r="8" spans="1:17" ht="18" x14ac:dyDescent="0.35">
      <c r="A8" s="3" t="s">
        <v>7</v>
      </c>
      <c r="B8" s="3" t="s">
        <v>44</v>
      </c>
      <c r="C8" s="3">
        <v>0.1</v>
      </c>
    </row>
    <row r="9" spans="1:17" ht="18" x14ac:dyDescent="0.35">
      <c r="A9" s="3" t="s">
        <v>8</v>
      </c>
      <c r="B9" s="3" t="s">
        <v>45</v>
      </c>
      <c r="C9" s="3">
        <v>1.3</v>
      </c>
    </row>
    <row r="10" spans="1:17" x14ac:dyDescent="0.25">
      <c r="A10" s="22"/>
      <c r="B10" s="22"/>
      <c r="C10" s="22"/>
    </row>
    <row r="12" spans="1:17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47</v>
      </c>
      <c r="O12" s="5" t="s">
        <v>16</v>
      </c>
      <c r="P12" s="5" t="s">
        <v>48</v>
      </c>
      <c r="Q12" s="5" t="s">
        <v>18</v>
      </c>
    </row>
    <row r="13" spans="1:17" x14ac:dyDescent="0.25">
      <c r="A13" s="48" t="s">
        <v>115</v>
      </c>
      <c r="B13" s="49"/>
      <c r="C13" s="49"/>
      <c r="D13" s="49"/>
      <c r="E13" s="49"/>
      <c r="F13" s="49"/>
      <c r="G13" s="49"/>
      <c r="H13" s="50"/>
      <c r="J13" s="33" t="s">
        <v>46</v>
      </c>
      <c r="K13" s="34">
        <v>4.1147999999999998</v>
      </c>
      <c r="L13" s="34">
        <f>3.6576+2*0.25*K13</f>
        <v>5.7149999999999999</v>
      </c>
      <c r="M13" s="37">
        <f t="shared" ref="M13" si="0">K13+0.0254</f>
        <v>4.1402000000000001</v>
      </c>
      <c r="N13" s="37">
        <f t="shared" ref="N13" si="1">PI()*(M13*M13-K13*K13)/4</f>
        <v>0.16467993070668893</v>
      </c>
      <c r="O13" s="37">
        <f t="shared" ref="O13" si="2">N13*L13</f>
        <v>0.94114580398872727</v>
      </c>
      <c r="P13" s="35">
        <v>8000</v>
      </c>
      <c r="Q13" s="34">
        <f t="shared" ref="Q13" si="3">P13*O13</f>
        <v>7529.1664319098181</v>
      </c>
    </row>
    <row r="14" spans="1:17" x14ac:dyDescent="0.25">
      <c r="A14" s="6" t="s">
        <v>122</v>
      </c>
      <c r="B14" s="6" t="s">
        <v>116</v>
      </c>
      <c r="C14" s="6" t="s">
        <v>117</v>
      </c>
      <c r="D14" s="9">
        <v>12404.5008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6.2971234563859655</v>
      </c>
      <c r="J14" s="33" t="s">
        <v>126</v>
      </c>
      <c r="K14" s="34">
        <v>1.3715999999999999</v>
      </c>
      <c r="L14" s="34">
        <f>3.6576+2*0.25*K14</f>
        <v>4.3433999999999999</v>
      </c>
      <c r="M14" s="37">
        <f t="shared" ref="M14:M15" si="5">K14+0.0254</f>
        <v>1.397</v>
      </c>
      <c r="N14" s="37">
        <f t="shared" ref="N14:N15" si="6">PI()*(M14*M14-K14*K14)/4</f>
        <v>5.5231115221627589E-2</v>
      </c>
      <c r="O14" s="37">
        <f t="shared" ref="O14:O15" si="7">N14*L14</f>
        <v>0.23989082585361726</v>
      </c>
      <c r="P14" s="35">
        <v>8000</v>
      </c>
      <c r="Q14" s="34">
        <f t="shared" ref="Q14:Q15" si="8">P14*O14</f>
        <v>1919.1266068289381</v>
      </c>
    </row>
    <row r="15" spans="1:17" x14ac:dyDescent="0.25">
      <c r="A15" s="6" t="s">
        <v>123</v>
      </c>
      <c r="B15" s="6" t="s">
        <v>116</v>
      </c>
      <c r="C15" s="6" t="s">
        <v>117</v>
      </c>
      <c r="D15" s="9">
        <v>5465.3973400000004</v>
      </c>
      <c r="E15" s="8">
        <v>580000</v>
      </c>
      <c r="F15" s="8">
        <v>20000</v>
      </c>
      <c r="G15" s="9">
        <v>0.6</v>
      </c>
      <c r="H15" s="9">
        <f t="shared" ref="H15:H19" si="9">(E15+(F15*(D15^G15)))/1000000</f>
        <v>4.07625451578095</v>
      </c>
      <c r="J15" s="33" t="s">
        <v>127</v>
      </c>
      <c r="K15" s="34">
        <v>1.6763999999999999</v>
      </c>
      <c r="L15" s="34">
        <f>4.1148+2*0.25*K15</f>
        <v>4.9529999999999994</v>
      </c>
      <c r="M15" s="37">
        <f t="shared" si="5"/>
        <v>1.7018</v>
      </c>
      <c r="N15" s="37">
        <f t="shared" si="6"/>
        <v>6.7392094719967474E-2</v>
      </c>
      <c r="O15" s="37">
        <f t="shared" si="7"/>
        <v>0.33379304514799885</v>
      </c>
      <c r="P15" s="35">
        <v>8000</v>
      </c>
      <c r="Q15" s="34">
        <f t="shared" si="8"/>
        <v>2670.3443611839907</v>
      </c>
    </row>
    <row r="16" spans="1:17" x14ac:dyDescent="0.25">
      <c r="A16" s="6" t="s">
        <v>124</v>
      </c>
      <c r="B16" s="6" t="s">
        <v>116</v>
      </c>
      <c r="C16" s="6" t="s">
        <v>117</v>
      </c>
      <c r="D16" s="9">
        <v>459.68808100000001</v>
      </c>
      <c r="E16" s="8">
        <v>580000</v>
      </c>
      <c r="F16" s="8">
        <v>20000</v>
      </c>
      <c r="G16" s="9">
        <v>0.6</v>
      </c>
      <c r="H16" s="9">
        <f t="shared" si="9"/>
        <v>1.3716039300218024</v>
      </c>
      <c r="J16" s="33" t="s">
        <v>132</v>
      </c>
      <c r="K16" s="34">
        <v>5.9436</v>
      </c>
      <c r="L16" s="34">
        <f>3.6576+2*0.25*K16</f>
        <v>6.6294000000000004</v>
      </c>
      <c r="M16" s="37">
        <f t="shared" ref="M16" si="10">K16+0.0254</f>
        <v>5.9690000000000003</v>
      </c>
      <c r="N16" s="37">
        <f t="shared" ref="N16" si="11">PI()*(M16*M16-K16*K16)/4</f>
        <v>0.23764580769672822</v>
      </c>
      <c r="O16" s="37">
        <f t="shared" ref="O16" si="12">N16*L16</f>
        <v>1.5754491175446901</v>
      </c>
      <c r="P16" s="35">
        <v>8000</v>
      </c>
      <c r="Q16" s="34">
        <f t="shared" ref="Q16" si="13">P16*O16</f>
        <v>12603.592940357521</v>
      </c>
    </row>
    <row r="17" spans="1:17" x14ac:dyDescent="0.25">
      <c r="A17" s="6" t="s">
        <v>125</v>
      </c>
      <c r="B17" s="6" t="s">
        <v>116</v>
      </c>
      <c r="C17" s="6" t="s">
        <v>117</v>
      </c>
      <c r="D17" s="9">
        <v>207.32995</v>
      </c>
      <c r="E17" s="8">
        <v>580000</v>
      </c>
      <c r="F17" s="8">
        <v>20000</v>
      </c>
      <c r="G17" s="9">
        <v>0.6</v>
      </c>
      <c r="H17" s="9">
        <f t="shared" si="9"/>
        <v>1.0709386470620907</v>
      </c>
      <c r="J17" s="33" t="s">
        <v>91</v>
      </c>
      <c r="K17" s="34">
        <v>0.91439999999999999</v>
      </c>
      <c r="L17" s="34">
        <f>3.9624+2*0.25*K17</f>
        <v>4.4196</v>
      </c>
      <c r="M17" s="37">
        <f t="shared" ref="M17" si="14">K17+0.0254</f>
        <v>0.93979999999999997</v>
      </c>
      <c r="N17" s="37">
        <f t="shared" ref="N17" si="15">PI()*(M17*M17-K17*K17)/4</f>
        <v>3.6989645974117337E-2</v>
      </c>
      <c r="O17" s="37">
        <f t="shared" ref="O17" si="16">N17*L17</f>
        <v>0.16347943934720899</v>
      </c>
      <c r="P17" s="35">
        <v>8000</v>
      </c>
      <c r="Q17" s="34">
        <f t="shared" ref="Q17" si="17">P17*O17</f>
        <v>1307.835514777672</v>
      </c>
    </row>
    <row r="18" spans="1:17" x14ac:dyDescent="0.25">
      <c r="A18" s="6" t="s">
        <v>130</v>
      </c>
      <c r="B18" s="6" t="s">
        <v>116</v>
      </c>
      <c r="C18" s="6" t="s">
        <v>117</v>
      </c>
      <c r="D18" s="9">
        <v>1359.2785200000001</v>
      </c>
      <c r="E18" s="8">
        <v>580000</v>
      </c>
      <c r="F18" s="8">
        <v>20000</v>
      </c>
      <c r="G18" s="9">
        <v>0.6</v>
      </c>
      <c r="H18" s="9">
        <f t="shared" si="9"/>
        <v>2.0971030032223585</v>
      </c>
      <c r="J18" s="33" t="s">
        <v>128</v>
      </c>
      <c r="K18" s="34">
        <v>1.2192000000000001</v>
      </c>
      <c r="L18" s="34">
        <f>4.7244+2*0.25*K18</f>
        <v>5.3340000000000005</v>
      </c>
      <c r="M18" s="37">
        <f t="shared" ref="M18:M19" si="18">K18+0.0254</f>
        <v>1.2446000000000002</v>
      </c>
      <c r="N18" s="37">
        <f t="shared" ref="N18:N19" si="19">PI()*(M18*M18-K18*K18)/4</f>
        <v>4.9150625472457479E-2</v>
      </c>
      <c r="O18" s="37">
        <f t="shared" ref="O18:O19" si="20">N18*L18</f>
        <v>0.26216943627008821</v>
      </c>
      <c r="P18" s="35">
        <v>8000</v>
      </c>
      <c r="Q18" s="34">
        <f t="shared" ref="Q18:Q19" si="21">P18*O18</f>
        <v>2097.3554901607058</v>
      </c>
    </row>
    <row r="19" spans="1:17" x14ac:dyDescent="0.25">
      <c r="A19" s="6" t="s">
        <v>131</v>
      </c>
      <c r="B19" s="6" t="s">
        <v>116</v>
      </c>
      <c r="C19" s="6" t="s">
        <v>117</v>
      </c>
      <c r="D19" s="9">
        <v>516.06535899999994</v>
      </c>
      <c r="E19" s="8">
        <v>580000</v>
      </c>
      <c r="F19" s="8">
        <v>20000</v>
      </c>
      <c r="G19" s="9">
        <v>0.6</v>
      </c>
      <c r="H19" s="9">
        <f t="shared" si="9"/>
        <v>1.4285019025029586</v>
      </c>
      <c r="J19" s="33" t="s">
        <v>129</v>
      </c>
      <c r="K19" s="34">
        <v>1.2192000000000001</v>
      </c>
      <c r="L19" s="34">
        <f>4.7244+2*0.25*K19</f>
        <v>5.3340000000000005</v>
      </c>
      <c r="M19" s="37">
        <f t="shared" si="18"/>
        <v>1.2446000000000002</v>
      </c>
      <c r="N19" s="37">
        <f t="shared" si="19"/>
        <v>4.9150625472457479E-2</v>
      </c>
      <c r="O19" s="37">
        <f t="shared" si="20"/>
        <v>0.26216943627008821</v>
      </c>
      <c r="P19" s="35">
        <v>8000</v>
      </c>
      <c r="Q19" s="34">
        <f t="shared" si="21"/>
        <v>2097.3554901607058</v>
      </c>
    </row>
    <row r="20" spans="1:17" x14ac:dyDescent="0.25">
      <c r="A20" s="48" t="s">
        <v>118</v>
      </c>
      <c r="B20" s="49"/>
      <c r="C20" s="49"/>
      <c r="D20" s="49"/>
      <c r="E20" s="49"/>
      <c r="F20" s="49"/>
      <c r="G20" s="49"/>
      <c r="H20" s="50"/>
    </row>
    <row r="21" spans="1:17" x14ac:dyDescent="0.25">
      <c r="A21" s="6" t="s">
        <v>119</v>
      </c>
      <c r="B21" s="6" t="s">
        <v>120</v>
      </c>
      <c r="C21" s="6" t="s">
        <v>121</v>
      </c>
      <c r="D21" s="9">
        <v>5.0346689500000101</v>
      </c>
      <c r="E21" s="8">
        <v>8000</v>
      </c>
      <c r="F21" s="8">
        <v>240</v>
      </c>
      <c r="G21" s="9">
        <v>0.9</v>
      </c>
      <c r="H21" s="9">
        <f>(E21+(F21*(D21^G21)))/1000000</f>
        <v>9.0279809556111836E-3</v>
      </c>
    </row>
    <row r="22" spans="1:17" x14ac:dyDescent="0.25">
      <c r="A22" s="48" t="s">
        <v>89</v>
      </c>
      <c r="B22" s="49"/>
      <c r="C22" s="49"/>
      <c r="D22" s="49"/>
      <c r="E22" s="49"/>
      <c r="F22" s="49"/>
      <c r="G22" s="49"/>
      <c r="H22" s="50"/>
    </row>
    <row r="23" spans="1:17" x14ac:dyDescent="0.25">
      <c r="A23" s="6" t="s">
        <v>133</v>
      </c>
      <c r="B23" s="6" t="s">
        <v>49</v>
      </c>
      <c r="C23" s="6" t="s">
        <v>50</v>
      </c>
      <c r="D23" s="21">
        <f>I23/J23</f>
        <v>485.73071578458502</v>
      </c>
      <c r="E23" s="8">
        <v>28000</v>
      </c>
      <c r="F23" s="8">
        <v>54</v>
      </c>
      <c r="G23" s="9">
        <v>1.2</v>
      </c>
      <c r="H23" s="9">
        <f>(E23+(F23*(D23^G23)))/1000000*J23</f>
        <v>0.71027513507045825</v>
      </c>
      <c r="I23" s="46">
        <v>2914.38429470751</v>
      </c>
      <c r="J23" s="47">
        <v>6</v>
      </c>
    </row>
    <row r="24" spans="1:17" x14ac:dyDescent="0.25">
      <c r="A24" s="6" t="s">
        <v>133</v>
      </c>
      <c r="B24" s="6" t="s">
        <v>49</v>
      </c>
      <c r="C24" s="6" t="s">
        <v>50</v>
      </c>
      <c r="D24" s="21">
        <f t="shared" ref="D24:D38" si="22">I24/J24</f>
        <v>151.16441125067101</v>
      </c>
      <c r="E24" s="8">
        <v>28000</v>
      </c>
      <c r="F24" s="8">
        <v>54</v>
      </c>
      <c r="G24" s="9">
        <v>1.2</v>
      </c>
      <c r="H24" s="9">
        <f t="shared" ref="H24:H38" si="23">(E24+(F24*(D24^G24)))/1000000*J24</f>
        <v>5.0270667200704361E-2</v>
      </c>
      <c r="I24" s="46">
        <v>151.16441125067101</v>
      </c>
      <c r="J24" s="47">
        <v>1</v>
      </c>
    </row>
    <row r="25" spans="1:17" x14ac:dyDescent="0.25">
      <c r="A25" s="6" t="s">
        <v>133</v>
      </c>
      <c r="B25" s="6" t="s">
        <v>49</v>
      </c>
      <c r="C25" s="6" t="s">
        <v>50</v>
      </c>
      <c r="D25" s="21">
        <f t="shared" si="22"/>
        <v>142.25913598776299</v>
      </c>
      <c r="E25" s="8">
        <v>28000</v>
      </c>
      <c r="F25" s="8">
        <v>54</v>
      </c>
      <c r="G25" s="9">
        <v>1.2</v>
      </c>
      <c r="H25" s="9">
        <f t="shared" si="23"/>
        <v>4.8705702026553895E-2</v>
      </c>
      <c r="I25" s="46">
        <v>142.25913598776299</v>
      </c>
      <c r="J25" s="47">
        <v>1</v>
      </c>
    </row>
    <row r="26" spans="1:17" x14ac:dyDescent="0.25">
      <c r="A26" s="6" t="s">
        <v>133</v>
      </c>
      <c r="B26" s="6" t="s">
        <v>49</v>
      </c>
      <c r="C26" s="6" t="s">
        <v>50</v>
      </c>
      <c r="D26" s="21">
        <f t="shared" si="22"/>
        <v>57.8274713586422</v>
      </c>
      <c r="E26" s="8">
        <v>28000</v>
      </c>
      <c r="F26" s="8">
        <v>54</v>
      </c>
      <c r="G26" s="9">
        <v>1.2</v>
      </c>
      <c r="H26" s="9">
        <f t="shared" si="23"/>
        <v>3.5029991540847648E-2</v>
      </c>
      <c r="I26" s="46">
        <v>57.8274713586422</v>
      </c>
      <c r="J26" s="47">
        <v>1</v>
      </c>
    </row>
    <row r="27" spans="1:17" x14ac:dyDescent="0.25">
      <c r="A27" s="6" t="s">
        <v>133</v>
      </c>
      <c r="B27" s="6" t="s">
        <v>49</v>
      </c>
      <c r="C27" s="6" t="s">
        <v>50</v>
      </c>
      <c r="D27" s="21">
        <f t="shared" si="22"/>
        <v>413.60540799010749</v>
      </c>
      <c r="E27" s="8">
        <v>28000</v>
      </c>
      <c r="F27" s="8">
        <v>54</v>
      </c>
      <c r="G27" s="9">
        <v>1.2</v>
      </c>
      <c r="H27" s="9">
        <f t="shared" si="23"/>
        <v>0.41009672277876302</v>
      </c>
      <c r="I27" s="46">
        <v>1654.42163196043</v>
      </c>
      <c r="J27" s="47">
        <v>4</v>
      </c>
    </row>
    <row r="28" spans="1:17" x14ac:dyDescent="0.25">
      <c r="A28" s="6" t="s">
        <v>133</v>
      </c>
      <c r="B28" s="6" t="s">
        <v>49</v>
      </c>
      <c r="C28" s="6" t="s">
        <v>50</v>
      </c>
      <c r="D28" s="21">
        <f t="shared" si="22"/>
        <v>376.42108861113752</v>
      </c>
      <c r="E28" s="8">
        <v>28000</v>
      </c>
      <c r="F28" s="8">
        <v>54</v>
      </c>
      <c r="G28" s="9">
        <v>1.2</v>
      </c>
      <c r="H28" s="9">
        <f t="shared" si="23"/>
        <v>0.37823336830867904</v>
      </c>
      <c r="I28" s="46">
        <v>1505.6843544445501</v>
      </c>
      <c r="J28" s="47">
        <v>4</v>
      </c>
    </row>
    <row r="29" spans="1:17" x14ac:dyDescent="0.25">
      <c r="A29" s="6" t="s">
        <v>133</v>
      </c>
      <c r="B29" s="6" t="s">
        <v>49</v>
      </c>
      <c r="C29" s="6" t="s">
        <v>50</v>
      </c>
      <c r="D29" s="21">
        <f t="shared" si="22"/>
        <v>486.06163340509499</v>
      </c>
      <c r="E29" s="8">
        <v>28000</v>
      </c>
      <c r="F29" s="8">
        <v>54</v>
      </c>
      <c r="G29" s="9">
        <v>1.2</v>
      </c>
      <c r="H29" s="9">
        <f t="shared" si="23"/>
        <v>0.94762465782800953</v>
      </c>
      <c r="I29" s="46">
        <v>3888.49306724076</v>
      </c>
      <c r="J29" s="47">
        <v>8</v>
      </c>
    </row>
    <row r="30" spans="1:17" x14ac:dyDescent="0.25">
      <c r="A30" s="6" t="s">
        <v>133</v>
      </c>
      <c r="B30" s="6" t="s">
        <v>49</v>
      </c>
      <c r="C30" s="6" t="s">
        <v>50</v>
      </c>
      <c r="D30" s="21">
        <f t="shared" si="22"/>
        <v>232.65317738493701</v>
      </c>
      <c r="E30" s="8">
        <v>28000</v>
      </c>
      <c r="F30" s="8">
        <v>54</v>
      </c>
      <c r="G30" s="9">
        <v>1.2</v>
      </c>
      <c r="H30" s="9">
        <f t="shared" si="23"/>
        <v>6.5363241378053813E-2</v>
      </c>
      <c r="I30" s="46">
        <v>232.65317738493701</v>
      </c>
      <c r="J30" s="47">
        <v>1</v>
      </c>
    </row>
    <row r="31" spans="1:17" x14ac:dyDescent="0.25">
      <c r="A31" s="6" t="s">
        <v>133</v>
      </c>
      <c r="B31" s="6" t="s">
        <v>49</v>
      </c>
      <c r="C31" s="6" t="s">
        <v>50</v>
      </c>
      <c r="D31" s="21">
        <f t="shared" si="22"/>
        <v>88.607222778594505</v>
      </c>
      <c r="E31" s="8">
        <v>28000</v>
      </c>
      <c r="F31" s="8">
        <v>54</v>
      </c>
      <c r="G31" s="9">
        <v>1.2</v>
      </c>
      <c r="H31" s="9">
        <f t="shared" si="23"/>
        <v>7.946317096246433E-2</v>
      </c>
      <c r="I31" s="46">
        <v>177.21444555718901</v>
      </c>
      <c r="J31" s="47">
        <v>2</v>
      </c>
    </row>
    <row r="32" spans="1:17" x14ac:dyDescent="0.25">
      <c r="A32" s="6" t="s">
        <v>134</v>
      </c>
      <c r="B32" s="6" t="s">
        <v>49</v>
      </c>
      <c r="C32" s="6" t="s">
        <v>50</v>
      </c>
      <c r="D32" s="21">
        <f t="shared" si="22"/>
        <v>98.872763657068006</v>
      </c>
      <c r="E32" s="8">
        <v>28000</v>
      </c>
      <c r="F32" s="8">
        <v>54</v>
      </c>
      <c r="G32" s="9">
        <v>1.2</v>
      </c>
      <c r="H32" s="9">
        <f t="shared" si="23"/>
        <v>8.276182730004962E-2</v>
      </c>
      <c r="I32" s="46">
        <v>197.74552731413601</v>
      </c>
      <c r="J32" s="47">
        <v>2</v>
      </c>
    </row>
    <row r="33" spans="1:15" x14ac:dyDescent="0.25">
      <c r="A33" s="6" t="s">
        <v>135</v>
      </c>
      <c r="B33" s="6" t="s">
        <v>49</v>
      </c>
      <c r="C33" s="6" t="s">
        <v>50</v>
      </c>
      <c r="D33" s="21">
        <f t="shared" si="22"/>
        <v>484.5136942776893</v>
      </c>
      <c r="E33" s="8">
        <v>28000</v>
      </c>
      <c r="F33" s="8">
        <v>54</v>
      </c>
      <c r="G33" s="9">
        <v>1.2</v>
      </c>
      <c r="H33" s="9">
        <f t="shared" si="23"/>
        <v>1.7716127708928535</v>
      </c>
      <c r="I33" s="46">
        <v>7267.7054141653398</v>
      </c>
      <c r="J33" s="47">
        <v>15</v>
      </c>
    </row>
    <row r="34" spans="1:15" x14ac:dyDescent="0.25">
      <c r="A34" s="6" t="s">
        <v>136</v>
      </c>
      <c r="B34" s="6" t="s">
        <v>49</v>
      </c>
      <c r="C34" s="6" t="s">
        <v>50</v>
      </c>
      <c r="D34" s="21">
        <f t="shared" si="22"/>
        <v>475.84188952260649</v>
      </c>
      <c r="E34" s="8">
        <v>28000</v>
      </c>
      <c r="F34" s="8">
        <v>54</v>
      </c>
      <c r="G34" s="9">
        <v>1.2</v>
      </c>
      <c r="H34" s="9">
        <f t="shared" si="23"/>
        <v>2.3235142006070535</v>
      </c>
      <c r="I34" s="46">
        <v>9516.8377904521294</v>
      </c>
      <c r="J34" s="47">
        <v>20</v>
      </c>
    </row>
    <row r="35" spans="1:15" x14ac:dyDescent="0.25">
      <c r="A35" s="6" t="s">
        <v>136</v>
      </c>
      <c r="B35" s="6" t="s">
        <v>49</v>
      </c>
      <c r="C35" s="6" t="s">
        <v>50</v>
      </c>
      <c r="D35" s="21">
        <f t="shared" si="22"/>
        <v>490.51056139047915</v>
      </c>
      <c r="E35" s="8">
        <v>28000</v>
      </c>
      <c r="F35" s="8">
        <v>54</v>
      </c>
      <c r="G35" s="9">
        <v>1.2</v>
      </c>
      <c r="H35" s="9">
        <f t="shared" si="23"/>
        <v>2.8667397876682332</v>
      </c>
      <c r="I35" s="46">
        <v>11772.2534733715</v>
      </c>
      <c r="J35" s="47">
        <v>24</v>
      </c>
    </row>
    <row r="36" spans="1:15" x14ac:dyDescent="0.25">
      <c r="A36" s="6" t="s">
        <v>136</v>
      </c>
      <c r="B36" s="6" t="s">
        <v>49</v>
      </c>
      <c r="C36" s="6" t="s">
        <v>50</v>
      </c>
      <c r="D36" s="21">
        <f t="shared" si="22"/>
        <v>444.97345896989702</v>
      </c>
      <c r="E36" s="8">
        <v>28000</v>
      </c>
      <c r="F36" s="8">
        <v>54</v>
      </c>
      <c r="G36" s="9">
        <v>1.2</v>
      </c>
      <c r="H36" s="9">
        <f t="shared" si="23"/>
        <v>0.2187139112925694</v>
      </c>
      <c r="I36" s="46">
        <v>889.94691793979405</v>
      </c>
      <c r="J36" s="47">
        <v>2</v>
      </c>
    </row>
    <row r="37" spans="1:15" x14ac:dyDescent="0.25">
      <c r="A37" s="6" t="s">
        <v>137</v>
      </c>
      <c r="B37" s="6" t="s">
        <v>49</v>
      </c>
      <c r="C37" s="6" t="s">
        <v>50</v>
      </c>
      <c r="D37" s="21">
        <f t="shared" si="22"/>
        <v>62.450160797875803</v>
      </c>
      <c r="E37" s="8">
        <v>28000</v>
      </c>
      <c r="F37" s="8">
        <v>54</v>
      </c>
      <c r="G37" s="9">
        <v>1.2</v>
      </c>
      <c r="H37" s="9">
        <f t="shared" si="23"/>
        <v>3.5709638823331787E-2</v>
      </c>
      <c r="I37" s="46">
        <v>62.450160797875803</v>
      </c>
      <c r="J37" s="47">
        <v>1</v>
      </c>
    </row>
    <row r="38" spans="1:15" x14ac:dyDescent="0.25">
      <c r="A38" s="6" t="s">
        <v>137</v>
      </c>
      <c r="B38" s="6" t="s">
        <v>49</v>
      </c>
      <c r="C38" s="6" t="s">
        <v>50</v>
      </c>
      <c r="D38" s="21">
        <f t="shared" si="22"/>
        <v>375.05311443806698</v>
      </c>
      <c r="E38" s="8">
        <v>28000</v>
      </c>
      <c r="F38" s="8">
        <v>54</v>
      </c>
      <c r="G38" s="9">
        <v>1.2</v>
      </c>
      <c r="H38" s="9">
        <f t="shared" si="23"/>
        <v>9.4268187329060019E-2</v>
      </c>
      <c r="I38" s="46">
        <v>375.05311443806698</v>
      </c>
      <c r="J38" s="47">
        <v>1</v>
      </c>
    </row>
    <row r="39" spans="1:15" x14ac:dyDescent="0.25">
      <c r="A39" s="51" t="s">
        <v>51</v>
      </c>
      <c r="B39" s="52"/>
      <c r="C39" s="52"/>
      <c r="D39" s="52"/>
      <c r="E39" s="52"/>
      <c r="F39" s="52"/>
      <c r="G39" s="52"/>
      <c r="H39" s="53"/>
    </row>
    <row r="40" spans="1:15" x14ac:dyDescent="0.25">
      <c r="A40" s="7" t="s">
        <v>91</v>
      </c>
      <c r="B40" s="6" t="s">
        <v>90</v>
      </c>
      <c r="C40" s="6" t="s">
        <v>52</v>
      </c>
      <c r="D40" s="9">
        <f>Q17</f>
        <v>1307.835514777672</v>
      </c>
      <c r="E40" s="8">
        <v>17400</v>
      </c>
      <c r="F40" s="8">
        <v>79</v>
      </c>
      <c r="G40" s="9">
        <v>0.85</v>
      </c>
      <c r="H40" s="9">
        <f>(E40+(F40*(D40^G40)))/1000000</f>
        <v>5.2612531533921945E-2</v>
      </c>
    </row>
    <row r="41" spans="1:15" x14ac:dyDescent="0.25">
      <c r="A41" s="7" t="s">
        <v>128</v>
      </c>
      <c r="B41" s="6" t="s">
        <v>90</v>
      </c>
      <c r="C41" s="6" t="s">
        <v>52</v>
      </c>
      <c r="D41" s="9">
        <f>Q18</f>
        <v>2097.3554901607058</v>
      </c>
      <c r="E41" s="8">
        <v>17400</v>
      </c>
      <c r="F41" s="8">
        <v>79</v>
      </c>
      <c r="G41" s="9">
        <v>0.85</v>
      </c>
      <c r="H41" s="9">
        <f t="shared" ref="H41:H42" si="24">(E41+(F41*(D41^G41)))/1000000</f>
        <v>7.0007580864772365E-2</v>
      </c>
    </row>
    <row r="42" spans="1:15" x14ac:dyDescent="0.25">
      <c r="A42" s="7" t="s">
        <v>129</v>
      </c>
      <c r="B42" s="6" t="s">
        <v>90</v>
      </c>
      <c r="C42" s="6" t="s">
        <v>52</v>
      </c>
      <c r="D42" s="9">
        <f>Q19</f>
        <v>2097.3554901607058</v>
      </c>
      <c r="E42" s="8">
        <v>17400</v>
      </c>
      <c r="F42" s="8">
        <v>79</v>
      </c>
      <c r="G42" s="9">
        <v>0.85</v>
      </c>
      <c r="H42" s="9">
        <f t="shared" si="24"/>
        <v>7.0007580864772365E-2</v>
      </c>
    </row>
    <row r="43" spans="1:15" x14ac:dyDescent="0.25">
      <c r="A43" s="48" t="s">
        <v>92</v>
      </c>
      <c r="B43" s="49"/>
      <c r="C43" s="49"/>
      <c r="D43" s="49"/>
      <c r="E43" s="49"/>
      <c r="F43" s="49"/>
      <c r="G43" s="49"/>
      <c r="H43" s="50"/>
      <c r="O43" s="44"/>
    </row>
    <row r="44" spans="1:15" x14ac:dyDescent="0.25">
      <c r="A44" s="6" t="s">
        <v>46</v>
      </c>
      <c r="B44" s="6" t="s">
        <v>90</v>
      </c>
      <c r="C44" s="6" t="s">
        <v>52</v>
      </c>
      <c r="D44" s="9">
        <f>Q13</f>
        <v>7529.1664319098181</v>
      </c>
      <c r="E44" s="8">
        <v>17400</v>
      </c>
      <c r="F44" s="8">
        <v>79</v>
      </c>
      <c r="G44" s="9">
        <v>0.85</v>
      </c>
      <c r="H44" s="9">
        <f>(E44+(F44*(D44^G44)))/1000000</f>
        <v>0.173305685810349</v>
      </c>
    </row>
    <row r="45" spans="1:15" x14ac:dyDescent="0.25">
      <c r="A45" s="6" t="s">
        <v>126</v>
      </c>
      <c r="B45" s="6" t="s">
        <v>90</v>
      </c>
      <c r="C45" s="6" t="s">
        <v>52</v>
      </c>
      <c r="D45" s="9">
        <f>Q14</f>
        <v>1919.1266068289381</v>
      </c>
      <c r="E45" s="8">
        <v>17400</v>
      </c>
      <c r="F45" s="8">
        <v>79</v>
      </c>
      <c r="G45" s="9">
        <v>0.85</v>
      </c>
      <c r="H45" s="9">
        <f t="shared" ref="H45:H46" si="25">(E45+(F45*(D45^G45)))/1000000</f>
        <v>6.6182625876606713E-2</v>
      </c>
    </row>
    <row r="46" spans="1:15" x14ac:dyDescent="0.25">
      <c r="A46" s="6" t="s">
        <v>127</v>
      </c>
      <c r="B46" s="6" t="s">
        <v>90</v>
      </c>
      <c r="C46" s="6" t="s">
        <v>52</v>
      </c>
      <c r="D46" s="9">
        <f>Q15</f>
        <v>2670.3443611839907</v>
      </c>
      <c r="E46" s="8">
        <v>17400</v>
      </c>
      <c r="F46" s="8">
        <v>79</v>
      </c>
      <c r="G46" s="9">
        <v>0.85</v>
      </c>
      <c r="H46" s="9">
        <f t="shared" si="25"/>
        <v>8.1996542209892539E-2</v>
      </c>
    </row>
    <row r="47" spans="1:15" x14ac:dyDescent="0.25">
      <c r="A47" s="6" t="s">
        <v>132</v>
      </c>
      <c r="B47" s="6" t="s">
        <v>90</v>
      </c>
      <c r="C47" s="6" t="s">
        <v>52</v>
      </c>
      <c r="D47" s="9">
        <f>Q16</f>
        <v>12603.592940357521</v>
      </c>
      <c r="E47" s="8">
        <v>17400</v>
      </c>
      <c r="F47" s="8">
        <v>79</v>
      </c>
      <c r="G47" s="9">
        <v>0.85</v>
      </c>
      <c r="H47" s="9">
        <f t="shared" ref="H47" si="26">(E47+(F47*(D47^G47)))/1000000</f>
        <v>0.25897239461412386</v>
      </c>
    </row>
    <row r="48" spans="1:15" x14ac:dyDescent="0.25">
      <c r="H48" s="38">
        <f>SUM(H14:H47)</f>
        <v>27.242021358713856</v>
      </c>
    </row>
    <row r="49" spans="1:4" x14ac:dyDescent="0.25">
      <c r="A49" s="24" t="s">
        <v>34</v>
      </c>
      <c r="B49" s="21">
        <v>532.9</v>
      </c>
    </row>
    <row r="50" spans="1:4" x14ac:dyDescent="0.25">
      <c r="A50" s="24" t="s">
        <v>35</v>
      </c>
      <c r="B50" s="21">
        <v>607.5</v>
      </c>
    </row>
    <row r="51" spans="1:4" x14ac:dyDescent="0.25">
      <c r="A51" s="24" t="s">
        <v>93</v>
      </c>
      <c r="B51" s="21">
        <v>816</v>
      </c>
    </row>
    <row r="52" spans="1:4" x14ac:dyDescent="0.25">
      <c r="A52" s="24" t="s">
        <v>53</v>
      </c>
      <c r="B52" s="21">
        <f>H48*B50/B49</f>
        <v>31.055597626981925</v>
      </c>
    </row>
    <row r="53" spans="1:4" x14ac:dyDescent="0.25">
      <c r="A53" s="24" t="s">
        <v>94</v>
      </c>
      <c r="B53" s="21">
        <f>H48*B51/B49</f>
        <v>41.714185454513995</v>
      </c>
    </row>
    <row r="54" spans="1:4" x14ac:dyDescent="0.25">
      <c r="A54" s="39"/>
      <c r="B54" s="32"/>
    </row>
    <row r="55" spans="1:4" x14ac:dyDescent="0.25">
      <c r="B55" s="36">
        <v>2019</v>
      </c>
      <c r="C55" s="36">
        <v>2022</v>
      </c>
    </row>
    <row r="56" spans="1:4" x14ac:dyDescent="0.25">
      <c r="A56" s="26" t="s">
        <v>54</v>
      </c>
      <c r="B56" s="40">
        <f>(B52)*((1+C3)+(C2+C5+C4+C6+C7+C8)/C9)*C9</f>
        <v>116.14793512491242</v>
      </c>
      <c r="C56" s="40">
        <f>(B53)*((1+C3)+(C2+C5+C4+C6+C7+C8)/C9)*C9</f>
        <v>156.01105359988236</v>
      </c>
    </row>
    <row r="57" spans="1:4" x14ac:dyDescent="0.25">
      <c r="A57" s="26" t="s">
        <v>55</v>
      </c>
      <c r="B57" s="40">
        <f>0.3*B56</f>
        <v>34.844380537473725</v>
      </c>
      <c r="C57" s="40">
        <f>0.3*C56</f>
        <v>46.803316079964709</v>
      </c>
    </row>
    <row r="58" spans="1:4" x14ac:dyDescent="0.25">
      <c r="A58" s="26" t="s">
        <v>56</v>
      </c>
      <c r="B58" s="40">
        <f>0.3*SUM(B56:B57)</f>
        <v>45.297694698715844</v>
      </c>
      <c r="C58" s="40">
        <f>0.3*SUM(C56:C57)</f>
        <v>60.844310903954117</v>
      </c>
      <c r="D58"/>
    </row>
    <row r="59" spans="1:4" x14ac:dyDescent="0.25">
      <c r="A59" s="26" t="s">
        <v>57</v>
      </c>
      <c r="B59" s="40">
        <f>0.1*SUM(B56:B57)</f>
        <v>15.099231566238615</v>
      </c>
      <c r="C59" s="40">
        <f>0.1*SUM(C56:C57)</f>
        <v>20.281436967984707</v>
      </c>
      <c r="D59"/>
    </row>
    <row r="60" spans="1:4" x14ac:dyDescent="0.25">
      <c r="A60" s="26" t="s">
        <v>58</v>
      </c>
      <c r="B60" s="40">
        <f>B56*(1+0.3)*(1+0.3+0.1)</f>
        <v>211.38924192734063</v>
      </c>
      <c r="C60" s="40">
        <f>C56*(1+0.3)*(1+0.3+0.1)</f>
        <v>283.94011755178593</v>
      </c>
      <c r="D60"/>
    </row>
    <row r="61" spans="1:4" x14ac:dyDescent="0.25">
      <c r="A61" s="26" t="s">
        <v>61</v>
      </c>
      <c r="B61" s="40">
        <f>B60*0.15</f>
        <v>31.708386289101092</v>
      </c>
      <c r="C61" s="40">
        <f>C60*0.15</f>
        <v>42.591017632767887</v>
      </c>
      <c r="D61"/>
    </row>
    <row r="62" spans="1:4" x14ac:dyDescent="0.25">
      <c r="A62" s="26" t="s">
        <v>59</v>
      </c>
      <c r="B62" s="40">
        <f>B60+B61</f>
        <v>243.09762821644173</v>
      </c>
      <c r="C62" s="40">
        <f>C60+C61</f>
        <v>326.53113518455382</v>
      </c>
      <c r="D62"/>
    </row>
    <row r="63" spans="1:4" x14ac:dyDescent="0.25">
      <c r="A63" s="26" t="s">
        <v>26</v>
      </c>
      <c r="B63" s="40">
        <v>25</v>
      </c>
      <c r="C63" s="40">
        <v>25</v>
      </c>
    </row>
    <row r="64" spans="1:4" x14ac:dyDescent="0.25">
      <c r="A64" s="26" t="s">
        <v>27</v>
      </c>
      <c r="B64" s="40">
        <v>0.12</v>
      </c>
      <c r="C64" s="40">
        <v>0.12</v>
      </c>
    </row>
    <row r="65" spans="1:3" x14ac:dyDescent="0.25">
      <c r="A65" s="26" t="s">
        <v>28</v>
      </c>
      <c r="B65" s="40">
        <f>(B64*((1+B64)^B63))/(((1+B64)^B63)-1)</f>
        <v>0.12749996980950773</v>
      </c>
      <c r="C65" s="40">
        <f>(C64*((1+C64)^C63))/(((1+C64)^C63)-1)</f>
        <v>0.12749996980950773</v>
      </c>
    </row>
    <row r="66" spans="1:3" x14ac:dyDescent="0.25">
      <c r="A66" s="26" t="s">
        <v>60</v>
      </c>
      <c r="B66" s="40">
        <f>B65*B62</f>
        <v>30.994940258359254</v>
      </c>
      <c r="C66" s="40">
        <f>C65*C62</f>
        <v>41.632709877894897</v>
      </c>
    </row>
    <row r="67" spans="1:3" x14ac:dyDescent="0.25">
      <c r="A67" s="25" t="s">
        <v>36</v>
      </c>
      <c r="B67" s="19">
        <f>B66</f>
        <v>30.994940258359254</v>
      </c>
      <c r="C67" s="19">
        <f>C66</f>
        <v>41.632709877894897</v>
      </c>
    </row>
    <row r="85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</sheetData>
  <mergeCells count="5">
    <mergeCell ref="A22:H22"/>
    <mergeCell ref="A39:H39"/>
    <mergeCell ref="A43:H43"/>
    <mergeCell ref="A13:H13"/>
    <mergeCell ref="A20:H20"/>
  </mergeCells>
  <conditionalFormatting sqref="I23">
    <cfRule type="cellIs" dxfId="1" priority="3" operator="lessThanOrEqual">
      <formula>1000</formula>
    </cfRule>
  </conditionalFormatting>
  <conditionalFormatting sqref="I24:I38">
    <cfRule type="cellIs" dxfId="0" priority="1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0"/>
  <sheetViews>
    <sheetView zoomScale="115" zoomScaleNormal="115" workbookViewId="0">
      <selection activeCell="A17" sqref="A17:C17"/>
    </sheetView>
  </sheetViews>
  <sheetFormatPr defaultRowHeight="15" x14ac:dyDescent="0.25"/>
  <cols>
    <col min="1" max="1" width="15.28515625" bestFit="1" customWidth="1"/>
    <col min="2" max="2" width="34.42578125" customWidth="1"/>
    <col min="3" max="3" width="8.5703125" bestFit="1" customWidth="1"/>
    <col min="5" max="5" width="15.28515625" customWidth="1"/>
    <col min="6" max="6" width="30.42578125" bestFit="1" customWidth="1"/>
    <col min="7" max="7" width="8.5703125" bestFit="1" customWidth="1"/>
  </cols>
  <sheetData>
    <row r="3" spans="1:7" x14ac:dyDescent="0.25">
      <c r="A3" s="54">
        <v>2019</v>
      </c>
      <c r="B3" s="54"/>
      <c r="C3" s="54"/>
      <c r="E3" s="54">
        <v>2022</v>
      </c>
      <c r="F3" s="54"/>
      <c r="G3" s="54"/>
    </row>
    <row r="4" spans="1:7" x14ac:dyDescent="0.25">
      <c r="A4" s="4" t="s">
        <v>65</v>
      </c>
      <c r="B4" s="4" t="s">
        <v>66</v>
      </c>
      <c r="C4" s="13" t="s">
        <v>37</v>
      </c>
      <c r="E4" s="36" t="s">
        <v>65</v>
      </c>
      <c r="F4" s="36" t="s">
        <v>66</v>
      </c>
      <c r="G4" s="13" t="s">
        <v>37</v>
      </c>
    </row>
    <row r="5" spans="1:7" x14ac:dyDescent="0.25">
      <c r="A5" s="54" t="s">
        <v>81</v>
      </c>
      <c r="B5" s="54"/>
      <c r="C5" s="54"/>
      <c r="E5" s="54" t="s">
        <v>81</v>
      </c>
      <c r="F5" s="54"/>
      <c r="G5" s="54"/>
    </row>
    <row r="6" spans="1:7" x14ac:dyDescent="0.25">
      <c r="A6" s="10" t="s">
        <v>73</v>
      </c>
      <c r="B6" s="10" t="s">
        <v>84</v>
      </c>
      <c r="C6" s="10">
        <f>50000*9*9/1000000</f>
        <v>4.05</v>
      </c>
      <c r="E6" s="10" t="s">
        <v>73</v>
      </c>
      <c r="F6" s="10" t="s">
        <v>84</v>
      </c>
      <c r="G6" s="10">
        <f>50000*9*9/1000000</f>
        <v>4.05</v>
      </c>
    </row>
    <row r="7" spans="1:7" x14ac:dyDescent="0.25">
      <c r="A7" s="10" t="s">
        <v>63</v>
      </c>
      <c r="B7" s="10" t="s">
        <v>64</v>
      </c>
      <c r="C7" s="21">
        <f>0.25*C6</f>
        <v>1.0125</v>
      </c>
      <c r="E7" s="10" t="s">
        <v>63</v>
      </c>
      <c r="F7" s="10" t="s">
        <v>64</v>
      </c>
      <c r="G7" s="21">
        <f>0.25*G6</f>
        <v>1.0125</v>
      </c>
    </row>
    <row r="8" spans="1:7" x14ac:dyDescent="0.25">
      <c r="A8" s="10" t="s">
        <v>67</v>
      </c>
      <c r="B8" s="10" t="s">
        <v>68</v>
      </c>
      <c r="C8" s="21">
        <f>0.45*(C6+C7)</f>
        <v>2.2781250000000002</v>
      </c>
      <c r="E8" s="10" t="s">
        <v>67</v>
      </c>
      <c r="F8" s="10" t="s">
        <v>68</v>
      </c>
      <c r="G8" s="21">
        <f>0.45*(G6+G7)</f>
        <v>2.2781250000000002</v>
      </c>
    </row>
    <row r="9" spans="1:7" x14ac:dyDescent="0.25">
      <c r="A9" s="48"/>
      <c r="B9" s="50"/>
      <c r="C9" s="17">
        <f>SUM(C6:C8)</f>
        <v>7.3406250000000002</v>
      </c>
      <c r="E9" s="48"/>
      <c r="F9" s="50"/>
      <c r="G9" s="17">
        <f>SUM(G6:G8)</f>
        <v>7.3406250000000002</v>
      </c>
    </row>
    <row r="10" spans="1:7" x14ac:dyDescent="0.25">
      <c r="A10" s="54" t="s">
        <v>82</v>
      </c>
      <c r="B10" s="54"/>
      <c r="C10" s="54"/>
      <c r="E10" s="54" t="s">
        <v>82</v>
      </c>
      <c r="F10" s="54"/>
      <c r="G10" s="54"/>
    </row>
    <row r="11" spans="1:7" x14ac:dyDescent="0.25">
      <c r="A11" s="10" t="s">
        <v>69</v>
      </c>
      <c r="B11" s="10" t="s">
        <v>70</v>
      </c>
      <c r="C11" s="23">
        <f>0.03*CAPEX!B56</f>
        <v>3.4844380537473727</v>
      </c>
      <c r="E11" s="10" t="s">
        <v>69</v>
      </c>
      <c r="F11" s="10" t="s">
        <v>70</v>
      </c>
      <c r="G11" s="23">
        <f>0.03*CAPEX!C56</f>
        <v>4.6803316079964707</v>
      </c>
    </row>
    <row r="12" spans="1:7" x14ac:dyDescent="0.25">
      <c r="A12" s="54"/>
      <c r="B12" s="54"/>
      <c r="C12" s="29">
        <f>C11</f>
        <v>3.4844380537473727</v>
      </c>
      <c r="E12" s="54"/>
      <c r="F12" s="54"/>
      <c r="G12" s="29">
        <f>G11</f>
        <v>4.6803316079964707</v>
      </c>
    </row>
    <row r="13" spans="1:7" x14ac:dyDescent="0.25">
      <c r="A13" s="48" t="s">
        <v>71</v>
      </c>
      <c r="B13" s="49"/>
      <c r="C13" s="50"/>
      <c r="E13" s="48" t="s">
        <v>71</v>
      </c>
      <c r="F13" s="49"/>
      <c r="G13" s="50"/>
    </row>
    <row r="14" spans="1:7" x14ac:dyDescent="0.25">
      <c r="A14" s="10" t="s">
        <v>72</v>
      </c>
      <c r="B14" s="10" t="s">
        <v>74</v>
      </c>
      <c r="C14" s="21">
        <f>0.65*(C6+C7+C8+C11)</f>
        <v>7.0362909849357926</v>
      </c>
      <c r="E14" s="10" t="s">
        <v>72</v>
      </c>
      <c r="F14" s="10" t="s">
        <v>74</v>
      </c>
      <c r="G14" s="21">
        <f>0.65*(G6+G7+G8+G11)</f>
        <v>7.8136217951977063</v>
      </c>
    </row>
    <row r="15" spans="1:7" x14ac:dyDescent="0.25">
      <c r="A15" s="10" t="s">
        <v>75</v>
      </c>
      <c r="B15" s="10" t="s">
        <v>77</v>
      </c>
      <c r="C15" s="21">
        <f>0.02*(CAPEX!B56+CAPEX!B57)</f>
        <v>3.0198463132477231</v>
      </c>
      <c r="E15" s="10" t="s">
        <v>75</v>
      </c>
      <c r="F15" s="10" t="s">
        <v>77</v>
      </c>
      <c r="G15" s="21">
        <f>0.02*(CAPEX!C56+CAPEX!C57)</f>
        <v>4.056287393596941</v>
      </c>
    </row>
    <row r="16" spans="1:7" x14ac:dyDescent="0.25">
      <c r="A16" s="54"/>
      <c r="B16" s="54"/>
      <c r="C16" s="29">
        <f>SUM(C14:C15)</f>
        <v>10.056137298183515</v>
      </c>
      <c r="E16" s="54"/>
      <c r="F16" s="54"/>
      <c r="G16" s="29">
        <f>SUM(G14:G15)</f>
        <v>11.869909188794647</v>
      </c>
    </row>
    <row r="17" spans="1:7" x14ac:dyDescent="0.25">
      <c r="A17" s="48" t="s">
        <v>78</v>
      </c>
      <c r="B17" s="49"/>
      <c r="C17" s="50"/>
      <c r="E17" s="48" t="s">
        <v>78</v>
      </c>
      <c r="F17" s="49"/>
      <c r="G17" s="50"/>
    </row>
    <row r="18" spans="1:7" x14ac:dyDescent="0.25">
      <c r="A18" s="10" t="s">
        <v>79</v>
      </c>
      <c r="B18" s="10" t="s">
        <v>80</v>
      </c>
      <c r="C18" s="23">
        <f>0.06*CAPEX!B61</f>
        <v>1.9025031773460654</v>
      </c>
      <c r="E18" s="10" t="s">
        <v>79</v>
      </c>
      <c r="F18" s="10" t="s">
        <v>80</v>
      </c>
      <c r="G18" s="23">
        <f>0.06*CAPEX!C61</f>
        <v>2.555461057966073</v>
      </c>
    </row>
    <row r="19" spans="1:7" x14ac:dyDescent="0.25">
      <c r="A19" s="54"/>
      <c r="B19" s="54"/>
      <c r="C19" s="17">
        <f>C18</f>
        <v>1.9025031773460654</v>
      </c>
      <c r="E19" s="54"/>
      <c r="F19" s="54"/>
      <c r="G19" s="17">
        <f>G18</f>
        <v>2.555461057966073</v>
      </c>
    </row>
    <row r="20" spans="1:7" x14ac:dyDescent="0.25">
      <c r="A20" s="48" t="s">
        <v>83</v>
      </c>
      <c r="B20" s="50"/>
      <c r="C20" s="17">
        <f>C9+C12+C16+C19</f>
        <v>22.783703529276952</v>
      </c>
      <c r="E20" s="48" t="s">
        <v>83</v>
      </c>
      <c r="F20" s="50"/>
      <c r="G20" s="17">
        <f>G9+G12+G16+G19</f>
        <v>26.446326854757192</v>
      </c>
    </row>
  </sheetData>
  <mergeCells count="20">
    <mergeCell ref="E20:F20"/>
    <mergeCell ref="E12:F12"/>
    <mergeCell ref="E13:G13"/>
    <mergeCell ref="E16:F16"/>
    <mergeCell ref="E17:G17"/>
    <mergeCell ref="E19:F19"/>
    <mergeCell ref="A3:C3"/>
    <mergeCell ref="E3:G3"/>
    <mergeCell ref="E5:G5"/>
    <mergeCell ref="E9:F9"/>
    <mergeCell ref="E10:G10"/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8"/>
  <sheetViews>
    <sheetView zoomScale="145" zoomScaleNormal="145" workbookViewId="0">
      <selection activeCell="H11" sqref="H11"/>
    </sheetView>
  </sheetViews>
  <sheetFormatPr defaultColWidth="8.85546875" defaultRowHeight="15" x14ac:dyDescent="0.25"/>
  <cols>
    <col min="1" max="1" width="8.85546875" style="11"/>
    <col min="2" max="2" width="19.85546875" style="11" bestFit="1" customWidth="1"/>
    <col min="3" max="3" width="8.28515625" style="11" bestFit="1" customWidth="1"/>
    <col min="4" max="4" width="10.140625" style="11" bestFit="1" customWidth="1"/>
    <col min="5" max="6" width="16.7109375" style="11" bestFit="1" customWidth="1"/>
    <col min="7" max="7" width="9.7109375" style="11" bestFit="1" customWidth="1"/>
    <col min="8" max="8" width="9.28515625" style="11" customWidth="1"/>
    <col min="9" max="16384" width="8.85546875" style="11"/>
  </cols>
  <sheetData>
    <row r="2" spans="2:11" x14ac:dyDescent="0.25">
      <c r="B2" s="1"/>
    </row>
    <row r="3" spans="2:11" x14ac:dyDescent="0.25">
      <c r="B3" s="13" t="s">
        <v>23</v>
      </c>
      <c r="C3" s="13" t="s">
        <v>29</v>
      </c>
      <c r="D3" s="13" t="s">
        <v>30</v>
      </c>
      <c r="E3" s="13" t="s">
        <v>108</v>
      </c>
      <c r="F3" s="13" t="s">
        <v>109</v>
      </c>
      <c r="G3" s="13" t="s">
        <v>87</v>
      </c>
      <c r="H3" s="13" t="s">
        <v>104</v>
      </c>
    </row>
    <row r="4" spans="2:11" x14ac:dyDescent="0.25">
      <c r="B4" s="48" t="s">
        <v>105</v>
      </c>
      <c r="C4" s="49"/>
      <c r="D4" s="49"/>
      <c r="E4" s="49"/>
      <c r="F4" s="49"/>
      <c r="G4" s="49"/>
      <c r="H4" s="49"/>
      <c r="I4" s="1"/>
    </row>
    <row r="5" spans="2:11" x14ac:dyDescent="0.25">
      <c r="B5" s="12" t="s">
        <v>102</v>
      </c>
      <c r="C5" s="12" t="s">
        <v>31</v>
      </c>
      <c r="D5" s="23">
        <v>0</v>
      </c>
      <c r="E5" s="43">
        <f>123.25*C17/C16</f>
        <v>124.14918753108937</v>
      </c>
      <c r="F5" s="42">
        <f>E5*C18/C17</f>
        <v>166.75841485657438</v>
      </c>
      <c r="G5" s="42">
        <f>D5*E5</f>
        <v>0</v>
      </c>
      <c r="H5" s="42">
        <f>D5*F5</f>
        <v>0</v>
      </c>
      <c r="I5" s="11">
        <f>G5/Summary!$C$23</f>
        <v>0</v>
      </c>
      <c r="J5" s="11">
        <f>H5/Summary!$C$23</f>
        <v>0</v>
      </c>
    </row>
    <row r="6" spans="2:11" x14ac:dyDescent="0.25">
      <c r="B6" s="12" t="s">
        <v>103</v>
      </c>
      <c r="C6" s="12" t="s">
        <v>31</v>
      </c>
      <c r="D6" s="27">
        <f>33362.86704/1000</f>
        <v>33.362867039999998</v>
      </c>
      <c r="E6" s="42">
        <v>465.07</v>
      </c>
      <c r="F6" s="42">
        <v>728.17</v>
      </c>
      <c r="G6" s="42">
        <f>D6*E6</f>
        <v>15516.068574292798</v>
      </c>
      <c r="H6" s="42">
        <f>D6*F6</f>
        <v>24293.838892516796</v>
      </c>
      <c r="I6" s="11">
        <f>G6/Summary!$C$23</f>
        <v>0.41596016578227946</v>
      </c>
      <c r="J6" s="11">
        <f>H6/Summary!$C$23</f>
        <v>0.65127768705287892</v>
      </c>
    </row>
    <row r="7" spans="2:11" x14ac:dyDescent="0.25">
      <c r="B7" s="41" t="s">
        <v>106</v>
      </c>
      <c r="C7" s="12" t="s">
        <v>31</v>
      </c>
      <c r="D7" s="27">
        <f>33362.86704/1000</f>
        <v>33.362867039999998</v>
      </c>
      <c r="E7" s="42">
        <v>1313.2</v>
      </c>
      <c r="F7" s="42">
        <v>1366.03</v>
      </c>
      <c r="G7" s="42">
        <f>D7*E7</f>
        <v>43812.116996928002</v>
      </c>
      <c r="H7" s="42">
        <f>D7*F7</f>
        <v>45574.677262651196</v>
      </c>
      <c r="I7" s="11">
        <f>G7/Summary!$C$23</f>
        <v>1.1745304786489978</v>
      </c>
      <c r="J7" s="11">
        <f>H7/Summary!$C$23</f>
        <v>1.2217818076065263</v>
      </c>
    </row>
    <row r="8" spans="2:11" x14ac:dyDescent="0.25">
      <c r="B8" s="48" t="s">
        <v>107</v>
      </c>
      <c r="C8" s="49"/>
      <c r="D8" s="49"/>
      <c r="E8" s="49"/>
      <c r="F8" s="49"/>
      <c r="G8" s="49"/>
      <c r="H8" s="49"/>
    </row>
    <row r="9" spans="2:11" x14ac:dyDescent="0.25">
      <c r="B9" s="14" t="s">
        <v>24</v>
      </c>
      <c r="C9" s="14" t="s">
        <v>32</v>
      </c>
      <c r="D9" s="9">
        <f>155874111.740109/10^6</f>
        <v>155.87411174010899</v>
      </c>
      <c r="E9" s="40">
        <v>0.38</v>
      </c>
      <c r="F9" s="42">
        <f>E9*C18/C17</f>
        <v>0.51041975308641974</v>
      </c>
      <c r="G9" s="42">
        <f>D9*E9</f>
        <v>59.232162461241415</v>
      </c>
      <c r="H9" s="42">
        <f>D9*F9</f>
        <v>79.561225626951426</v>
      </c>
      <c r="I9" s="11">
        <f>G9/Summary!$C$23</f>
        <v>1.5879164234838311E-3</v>
      </c>
      <c r="J9" s="11">
        <f>H9/Summary!$C$23</f>
        <v>2.1329050231486523E-3</v>
      </c>
    </row>
    <row r="10" spans="2:11" x14ac:dyDescent="0.25">
      <c r="B10" s="14" t="s">
        <v>138</v>
      </c>
      <c r="C10" s="14" t="s">
        <v>31</v>
      </c>
      <c r="D10" s="9">
        <f>222.373964161042/1000</f>
        <v>0.22237396416104202</v>
      </c>
      <c r="E10" s="40">
        <v>67.83</v>
      </c>
      <c r="F10" s="42">
        <v>288.06</v>
      </c>
      <c r="G10" s="42">
        <f>D10*E10</f>
        <v>15.08362598904348</v>
      </c>
      <c r="H10" s="42">
        <f>D10*F10</f>
        <v>64.057044116229761</v>
      </c>
      <c r="I10" s="11">
        <f>G10/Summary!$C$23</f>
        <v>4.0436709447105504E-4</v>
      </c>
      <c r="J10" s="11">
        <f>H10/Summary!$C$23</f>
        <v>1.7172635299031714E-3</v>
      </c>
    </row>
    <row r="11" spans="2:11" x14ac:dyDescent="0.25">
      <c r="B11" s="14" t="s">
        <v>25</v>
      </c>
      <c r="C11" s="14" t="s">
        <v>33</v>
      </c>
      <c r="D11" s="31">
        <v>20416.40624796</v>
      </c>
      <c r="E11" s="40">
        <v>6.7830000000000001E-2</v>
      </c>
      <c r="F11" s="40">
        <v>8.5300000000000001E-2</v>
      </c>
      <c r="G11" s="42">
        <f>D11*E11</f>
        <v>1384.8448357991267</v>
      </c>
      <c r="H11" s="42">
        <f>D11*F11</f>
        <v>1741.5194529509879</v>
      </c>
      <c r="I11" s="11">
        <f>G11/Summary!$C$23</f>
        <v>3.7125402270787103E-2</v>
      </c>
      <c r="J11" s="11">
        <f>H11/Summary!$C$23</f>
        <v>4.6687259526730654E-2</v>
      </c>
    </row>
    <row r="12" spans="2:11" x14ac:dyDescent="0.25">
      <c r="B12" s="4" t="s">
        <v>110</v>
      </c>
      <c r="C12" s="18" t="s">
        <v>37</v>
      </c>
      <c r="D12" s="16"/>
      <c r="E12" s="16"/>
      <c r="F12" s="19"/>
      <c r="G12" s="19">
        <f>(G5+G6+G9+G10+G11)/1000000*8000</f>
        <v>135.80183358833767</v>
      </c>
      <c r="H12" s="19">
        <f>(H5+H6+H9+H10+H11)/1000000*8000</f>
        <v>209.43181292168771</v>
      </c>
    </row>
    <row r="13" spans="2:11" x14ac:dyDescent="0.25">
      <c r="B13" s="36" t="s">
        <v>111</v>
      </c>
      <c r="C13" s="18" t="s">
        <v>37</v>
      </c>
      <c r="D13" s="16"/>
      <c r="E13" s="16"/>
      <c r="F13" s="19"/>
      <c r="G13" s="19">
        <f>(G5+G7+G9+G10+G11)/1000000*8000</f>
        <v>362.17022096941935</v>
      </c>
      <c r="H13" s="19">
        <f>(H5+H7+H9+H10+H11)/1000000*8000</f>
        <v>379.67851988276288</v>
      </c>
    </row>
    <row r="14" spans="2:11" x14ac:dyDescent="0.25">
      <c r="B14" s="15"/>
      <c r="C14" s="15"/>
      <c r="D14" s="15"/>
      <c r="E14" s="15"/>
      <c r="F14" s="15"/>
      <c r="G14" s="15"/>
      <c r="H14" s="15"/>
    </row>
    <row r="15" spans="2:11" x14ac:dyDescent="0.25">
      <c r="B15" s="28" t="s">
        <v>86</v>
      </c>
      <c r="C15" s="15"/>
      <c r="D15" s="15"/>
      <c r="E15" s="15"/>
      <c r="F15" s="15"/>
      <c r="G15" s="15"/>
      <c r="H15" s="15"/>
      <c r="K15"/>
    </row>
    <row r="16" spans="2:11" x14ac:dyDescent="0.25">
      <c r="B16" s="14" t="s">
        <v>85</v>
      </c>
      <c r="C16" s="23">
        <v>603.1</v>
      </c>
    </row>
    <row r="17" spans="2:3" x14ac:dyDescent="0.25">
      <c r="B17" s="14" t="s">
        <v>35</v>
      </c>
      <c r="C17" s="21">
        <v>607.5</v>
      </c>
    </row>
    <row r="18" spans="2:3" x14ac:dyDescent="0.25">
      <c r="B18" s="24" t="s">
        <v>93</v>
      </c>
      <c r="C18" s="21">
        <v>816</v>
      </c>
    </row>
  </sheetData>
  <mergeCells count="2">
    <mergeCell ref="B4:H4"/>
    <mergeCell ref="B8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33"/>
  <sheetViews>
    <sheetView tabSelected="1" zoomScaleNormal="100" workbookViewId="0">
      <selection activeCell="K49" sqref="K49"/>
    </sheetView>
  </sheetViews>
  <sheetFormatPr defaultRowHeight="15" x14ac:dyDescent="0.25"/>
  <cols>
    <col min="2" max="2" width="38.5703125" bestFit="1" customWidth="1"/>
    <col min="3" max="3" width="12.140625" bestFit="1" customWidth="1"/>
    <col min="5" max="5" width="36.5703125" bestFit="1" customWidth="1"/>
    <col min="6" max="6" width="12.5703125" bestFit="1" customWidth="1"/>
    <col min="8" max="8" width="36.5703125" bestFit="1" customWidth="1"/>
    <col min="9" max="9" width="12.140625" bestFit="1" customWidth="1"/>
    <col min="11" max="11" width="36.5703125" bestFit="1" customWidth="1"/>
    <col min="12" max="12" width="12.5703125" bestFit="1" customWidth="1"/>
  </cols>
  <sheetData>
    <row r="2" spans="2:12" x14ac:dyDescent="0.25">
      <c r="B2" s="54" t="s">
        <v>100</v>
      </c>
      <c r="C2" s="54"/>
      <c r="E2" s="54" t="s">
        <v>101</v>
      </c>
      <c r="F2" s="54"/>
      <c r="H2" s="54" t="s">
        <v>112</v>
      </c>
      <c r="I2" s="54"/>
      <c r="K2" s="54" t="s">
        <v>113</v>
      </c>
      <c r="L2" s="54"/>
    </row>
    <row r="3" spans="2:12" x14ac:dyDescent="0.25">
      <c r="B3" s="10" t="s">
        <v>62</v>
      </c>
      <c r="C3" s="21">
        <f>SUM(CAPEX!B52)</f>
        <v>31.055597626981925</v>
      </c>
      <c r="E3" s="10" t="s">
        <v>95</v>
      </c>
      <c r="F3" s="21">
        <f>CAPEX!B53</f>
        <v>41.714185454513995</v>
      </c>
      <c r="H3" s="10" t="s">
        <v>62</v>
      </c>
      <c r="I3" s="21">
        <f t="shared" ref="I3:I18" si="0">C3</f>
        <v>31.055597626981925</v>
      </c>
      <c r="K3" s="10" t="s">
        <v>95</v>
      </c>
      <c r="L3" s="21">
        <f t="shared" ref="L3:L18" si="1">F3</f>
        <v>41.714185454513995</v>
      </c>
    </row>
    <row r="4" spans="2:12" x14ac:dyDescent="0.25">
      <c r="B4" s="26" t="s">
        <v>54</v>
      </c>
      <c r="C4" s="21">
        <f>SUM(CAPEX!B56)</f>
        <v>116.14793512491242</v>
      </c>
      <c r="E4" s="26" t="s">
        <v>54</v>
      </c>
      <c r="F4" s="21">
        <f>CAPEX!C56</f>
        <v>156.01105359988236</v>
      </c>
      <c r="H4" s="26" t="s">
        <v>54</v>
      </c>
      <c r="I4" s="21">
        <f t="shared" si="0"/>
        <v>116.14793512491242</v>
      </c>
      <c r="K4" s="26" t="s">
        <v>54</v>
      </c>
      <c r="L4" s="21">
        <f t="shared" si="1"/>
        <v>156.01105359988236</v>
      </c>
    </row>
    <row r="5" spans="2:12" x14ac:dyDescent="0.25">
      <c r="B5" s="26" t="s">
        <v>55</v>
      </c>
      <c r="C5" s="21">
        <f>SUM(CAPEX!B57)</f>
        <v>34.844380537473725</v>
      </c>
      <c r="E5" s="26" t="s">
        <v>55</v>
      </c>
      <c r="F5" s="21">
        <f>CAPEX!C57</f>
        <v>46.803316079964709</v>
      </c>
      <c r="H5" s="26" t="s">
        <v>55</v>
      </c>
      <c r="I5" s="21">
        <f t="shared" si="0"/>
        <v>34.844380537473725</v>
      </c>
      <c r="K5" s="26" t="s">
        <v>55</v>
      </c>
      <c r="L5" s="21">
        <f t="shared" si="1"/>
        <v>46.803316079964709</v>
      </c>
    </row>
    <row r="6" spans="2:12" x14ac:dyDescent="0.25">
      <c r="B6" s="26" t="s">
        <v>76</v>
      </c>
      <c r="C6" s="21">
        <f>SUM(CAPEX!B58)</f>
        <v>45.297694698715844</v>
      </c>
      <c r="E6" s="26" t="s">
        <v>76</v>
      </c>
      <c r="F6" s="21">
        <f>CAPEX!C58</f>
        <v>60.844310903954117</v>
      </c>
      <c r="H6" s="26" t="s">
        <v>76</v>
      </c>
      <c r="I6" s="21">
        <f t="shared" si="0"/>
        <v>45.297694698715844</v>
      </c>
      <c r="K6" s="26" t="s">
        <v>76</v>
      </c>
      <c r="L6" s="21">
        <f t="shared" si="1"/>
        <v>60.844310903954117</v>
      </c>
    </row>
    <row r="7" spans="2:12" x14ac:dyDescent="0.25">
      <c r="B7" s="26" t="s">
        <v>57</v>
      </c>
      <c r="C7" s="21">
        <f>SUM(CAPEX!B59)</f>
        <v>15.099231566238615</v>
      </c>
      <c r="E7" s="26" t="s">
        <v>57</v>
      </c>
      <c r="F7" s="21">
        <f>CAPEX!C59</f>
        <v>20.281436967984707</v>
      </c>
      <c r="H7" s="26" t="s">
        <v>57</v>
      </c>
      <c r="I7" s="21">
        <f t="shared" si="0"/>
        <v>15.099231566238615</v>
      </c>
      <c r="K7" s="26" t="s">
        <v>57</v>
      </c>
      <c r="L7" s="21">
        <f t="shared" si="1"/>
        <v>20.281436967984707</v>
      </c>
    </row>
    <row r="8" spans="2:12" x14ac:dyDescent="0.25">
      <c r="B8" s="26" t="s">
        <v>58</v>
      </c>
      <c r="C8" s="21">
        <f>SUM(CAPEX!B60)</f>
        <v>211.38924192734063</v>
      </c>
      <c r="E8" s="26" t="s">
        <v>58</v>
      </c>
      <c r="F8" s="21">
        <f>CAPEX!C60</f>
        <v>283.94011755178593</v>
      </c>
      <c r="H8" s="26" t="s">
        <v>58</v>
      </c>
      <c r="I8" s="21">
        <f t="shared" si="0"/>
        <v>211.38924192734063</v>
      </c>
      <c r="K8" s="26" t="s">
        <v>58</v>
      </c>
      <c r="L8" s="21">
        <f t="shared" si="1"/>
        <v>283.94011755178593</v>
      </c>
    </row>
    <row r="9" spans="2:12" x14ac:dyDescent="0.25">
      <c r="B9" s="26" t="s">
        <v>61</v>
      </c>
      <c r="C9" s="21">
        <f>SUM(CAPEX!B61)</f>
        <v>31.708386289101092</v>
      </c>
      <c r="E9" s="26" t="s">
        <v>61</v>
      </c>
      <c r="F9" s="21">
        <f>CAPEX!C61</f>
        <v>42.591017632767887</v>
      </c>
      <c r="H9" s="26" t="s">
        <v>61</v>
      </c>
      <c r="I9" s="21">
        <f t="shared" si="0"/>
        <v>31.708386289101092</v>
      </c>
      <c r="K9" s="26" t="s">
        <v>61</v>
      </c>
      <c r="L9" s="21">
        <f t="shared" si="1"/>
        <v>42.591017632767887</v>
      </c>
    </row>
    <row r="10" spans="2:12" x14ac:dyDescent="0.25">
      <c r="B10" s="10" t="s">
        <v>59</v>
      </c>
      <c r="C10" s="21">
        <f>SUM(CAPEX!B62)</f>
        <v>243.09762821644173</v>
      </c>
      <c r="E10" s="10" t="s">
        <v>59</v>
      </c>
      <c r="F10" s="21">
        <f>CAPEX!C62</f>
        <v>326.53113518455382</v>
      </c>
      <c r="H10" s="10" t="s">
        <v>59</v>
      </c>
      <c r="I10" s="21">
        <f t="shared" si="0"/>
        <v>243.09762821644173</v>
      </c>
      <c r="K10" s="10" t="s">
        <v>59</v>
      </c>
      <c r="L10" s="21">
        <f t="shared" si="1"/>
        <v>326.53113518455382</v>
      </c>
    </row>
    <row r="11" spans="2:12" x14ac:dyDescent="0.25">
      <c r="B11" s="10" t="s">
        <v>81</v>
      </c>
      <c r="C11" s="21">
        <v>0</v>
      </c>
      <c r="E11" s="10" t="s">
        <v>81</v>
      </c>
      <c r="F11" s="21">
        <f>SUM('Production costs'!F9)</f>
        <v>0</v>
      </c>
      <c r="H11" s="10" t="s">
        <v>81</v>
      </c>
      <c r="I11" s="21">
        <f t="shared" si="0"/>
        <v>0</v>
      </c>
      <c r="K11" s="10" t="s">
        <v>81</v>
      </c>
      <c r="L11" s="21">
        <f t="shared" si="1"/>
        <v>0</v>
      </c>
    </row>
    <row r="12" spans="2:12" x14ac:dyDescent="0.25">
      <c r="B12" s="10" t="s">
        <v>82</v>
      </c>
      <c r="C12" s="21">
        <v>0</v>
      </c>
      <c r="E12" s="10" t="s">
        <v>82</v>
      </c>
      <c r="F12" s="21">
        <f>SUM('Production costs'!F12)</f>
        <v>0</v>
      </c>
      <c r="H12" s="10" t="s">
        <v>82</v>
      </c>
      <c r="I12" s="21">
        <f t="shared" si="0"/>
        <v>0</v>
      </c>
      <c r="K12" s="10" t="s">
        <v>82</v>
      </c>
      <c r="L12" s="21">
        <f t="shared" si="1"/>
        <v>0</v>
      </c>
    </row>
    <row r="13" spans="2:12" x14ac:dyDescent="0.25">
      <c r="B13" s="10" t="s">
        <v>71</v>
      </c>
      <c r="C13" s="21">
        <v>0</v>
      </c>
      <c r="E13" s="10" t="s">
        <v>71</v>
      </c>
      <c r="F13" s="21">
        <f>SUM('Production costs'!F16)</f>
        <v>0</v>
      </c>
      <c r="H13" s="10" t="s">
        <v>71</v>
      </c>
      <c r="I13" s="21">
        <f t="shared" si="0"/>
        <v>0</v>
      </c>
      <c r="K13" s="10" t="s">
        <v>71</v>
      </c>
      <c r="L13" s="21">
        <f t="shared" si="1"/>
        <v>0</v>
      </c>
    </row>
    <row r="14" spans="2:12" x14ac:dyDescent="0.25">
      <c r="B14" s="10" t="s">
        <v>78</v>
      </c>
      <c r="C14" s="21">
        <v>0</v>
      </c>
      <c r="E14" s="10" t="s">
        <v>78</v>
      </c>
      <c r="F14" s="21">
        <f>SUM('Production costs'!F19)</f>
        <v>0</v>
      </c>
      <c r="H14" s="10" t="s">
        <v>78</v>
      </c>
      <c r="I14" s="21">
        <f t="shared" si="0"/>
        <v>0</v>
      </c>
      <c r="K14" s="10" t="s">
        <v>78</v>
      </c>
      <c r="L14" s="21">
        <f t="shared" si="1"/>
        <v>0</v>
      </c>
    </row>
    <row r="15" spans="2:12" x14ac:dyDescent="0.25">
      <c r="B15" s="10" t="s">
        <v>26</v>
      </c>
      <c r="C15" s="21">
        <f>SUM(CAPEX!B63)</f>
        <v>25</v>
      </c>
      <c r="E15" s="10" t="s">
        <v>26</v>
      </c>
      <c r="F15" s="21">
        <v>25</v>
      </c>
      <c r="H15" s="10" t="s">
        <v>26</v>
      </c>
      <c r="I15" s="21">
        <f t="shared" si="0"/>
        <v>25</v>
      </c>
      <c r="K15" s="10" t="s">
        <v>26</v>
      </c>
      <c r="L15" s="21">
        <f t="shared" si="1"/>
        <v>25</v>
      </c>
    </row>
    <row r="16" spans="2:12" x14ac:dyDescent="0.25">
      <c r="B16" s="10" t="s">
        <v>27</v>
      </c>
      <c r="C16" s="21">
        <f>SUM(CAPEX!B64)</f>
        <v>0.12</v>
      </c>
      <c r="E16" s="10" t="s">
        <v>27</v>
      </c>
      <c r="F16" s="21">
        <v>0.12</v>
      </c>
      <c r="H16" s="10" t="s">
        <v>27</v>
      </c>
      <c r="I16" s="21">
        <f t="shared" si="0"/>
        <v>0.12</v>
      </c>
      <c r="K16" s="10" t="s">
        <v>27</v>
      </c>
      <c r="L16" s="21">
        <f t="shared" si="1"/>
        <v>0.12</v>
      </c>
    </row>
    <row r="17" spans="2:12" x14ac:dyDescent="0.25">
      <c r="B17" s="10" t="s">
        <v>28</v>
      </c>
      <c r="C17" s="20">
        <f>SUM(CAPEX!B65)</f>
        <v>0.12749996980950773</v>
      </c>
      <c r="E17" s="10" t="s">
        <v>28</v>
      </c>
      <c r="F17" s="20">
        <v>0.12749996980950773</v>
      </c>
      <c r="H17" s="10" t="s">
        <v>28</v>
      </c>
      <c r="I17" s="20">
        <f t="shared" si="0"/>
        <v>0.12749996980950773</v>
      </c>
      <c r="K17" s="10" t="s">
        <v>28</v>
      </c>
      <c r="L17" s="20">
        <f t="shared" si="1"/>
        <v>0.12749996980950773</v>
      </c>
    </row>
    <row r="18" spans="2:12" x14ac:dyDescent="0.25">
      <c r="B18" s="13" t="s">
        <v>36</v>
      </c>
      <c r="C18" s="17">
        <f>SUM(CAPEX!B67)</f>
        <v>30.994940258359254</v>
      </c>
      <c r="E18" s="13" t="s">
        <v>36</v>
      </c>
      <c r="F18" s="17">
        <f>CAPEX!C67</f>
        <v>41.632709877894897</v>
      </c>
      <c r="H18" s="13" t="s">
        <v>36</v>
      </c>
      <c r="I18" s="17">
        <f t="shared" si="0"/>
        <v>30.994940258359254</v>
      </c>
      <c r="K18" s="13" t="s">
        <v>36</v>
      </c>
      <c r="L18" s="17">
        <f t="shared" si="1"/>
        <v>41.632709877894897</v>
      </c>
    </row>
    <row r="19" spans="2:12" x14ac:dyDescent="0.25">
      <c r="B19" s="13" t="s">
        <v>99</v>
      </c>
      <c r="C19" s="17">
        <v>0</v>
      </c>
      <c r="E19" s="13" t="s">
        <v>99</v>
      </c>
      <c r="F19" s="17">
        <v>0</v>
      </c>
      <c r="H19" s="13" t="s">
        <v>99</v>
      </c>
      <c r="I19" s="17">
        <v>0</v>
      </c>
      <c r="K19" s="13" t="s">
        <v>99</v>
      </c>
      <c r="L19" s="17">
        <v>0</v>
      </c>
    </row>
    <row r="20" spans="2:12" x14ac:dyDescent="0.25">
      <c r="B20" s="13" t="s">
        <v>88</v>
      </c>
      <c r="C20" s="17">
        <f>OPEX!G12</f>
        <v>135.80183358833767</v>
      </c>
      <c r="E20" s="13" t="s">
        <v>88</v>
      </c>
      <c r="F20" s="17">
        <f>OPEX!H12</f>
        <v>209.43181292168771</v>
      </c>
      <c r="H20" s="13" t="s">
        <v>88</v>
      </c>
      <c r="I20" s="17">
        <f>OPEX!G13</f>
        <v>362.17022096941935</v>
      </c>
      <c r="K20" s="13" t="s">
        <v>88</v>
      </c>
      <c r="L20" s="17">
        <f>OPEX!H13</f>
        <v>379.67851988276288</v>
      </c>
    </row>
    <row r="21" spans="2:12" x14ac:dyDescent="0.25">
      <c r="B21" s="13" t="s">
        <v>98</v>
      </c>
      <c r="C21" s="17">
        <f>(C18+C19+C20)</f>
        <v>166.79677384669694</v>
      </c>
      <c r="E21" s="13" t="s">
        <v>98</v>
      </c>
      <c r="F21" s="17">
        <f>(F18+F19+F20)</f>
        <v>251.06452279958262</v>
      </c>
      <c r="H21" s="13" t="s">
        <v>98</v>
      </c>
      <c r="I21" s="17">
        <f>(I18+I19+I20)</f>
        <v>393.16516122777858</v>
      </c>
      <c r="K21" s="13" t="s">
        <v>98</v>
      </c>
      <c r="L21" s="17">
        <f>(L18+L19+L20)</f>
        <v>421.3112297606578</v>
      </c>
    </row>
    <row r="22" spans="2:12" x14ac:dyDescent="0.25">
      <c r="B22" s="13" t="s">
        <v>97</v>
      </c>
      <c r="C22" s="17">
        <f>(C21)*1000000/8000</f>
        <v>20849.596730837118</v>
      </c>
      <c r="E22" s="13" t="s">
        <v>97</v>
      </c>
      <c r="F22" s="17">
        <f>(F21)*1000000/8000</f>
        <v>31383.065349947829</v>
      </c>
      <c r="H22" s="13" t="s">
        <v>97</v>
      </c>
      <c r="I22" s="17">
        <f>(I21)*1000000/8000</f>
        <v>49145.645153472316</v>
      </c>
      <c r="K22" s="13" t="s">
        <v>97</v>
      </c>
      <c r="L22" s="17">
        <f>(L21)*1000000/8000</f>
        <v>52663.90372008222</v>
      </c>
    </row>
    <row r="23" spans="2:12" x14ac:dyDescent="0.25">
      <c r="B23" s="28" t="s">
        <v>96</v>
      </c>
      <c r="C23" s="17">
        <v>37301.8136126385</v>
      </c>
      <c r="E23" s="28" t="s">
        <v>96</v>
      </c>
      <c r="F23" s="17">
        <v>37301.8136126385</v>
      </c>
      <c r="H23" s="28" t="s">
        <v>96</v>
      </c>
      <c r="I23" s="17">
        <v>37301.8136126385</v>
      </c>
      <c r="K23" s="28" t="s">
        <v>96</v>
      </c>
      <c r="L23" s="17">
        <v>37301.8136126385</v>
      </c>
    </row>
    <row r="24" spans="2:12" x14ac:dyDescent="0.25">
      <c r="B24" s="30" t="s">
        <v>114</v>
      </c>
      <c r="C24" s="45">
        <f>C22/C23</f>
        <v>0.5589432446194228</v>
      </c>
      <c r="E24" s="30" t="s">
        <v>114</v>
      </c>
      <c r="F24" s="45">
        <f>F22/F23</f>
        <v>0.84132813690631658</v>
      </c>
      <c r="H24" s="30" t="s">
        <v>114</v>
      </c>
      <c r="I24" s="45">
        <f>I22/I23</f>
        <v>1.3175135574861412</v>
      </c>
      <c r="K24" s="30" t="s">
        <v>114</v>
      </c>
      <c r="L24" s="45">
        <f>L22/L23</f>
        <v>1.4118322574599638</v>
      </c>
    </row>
    <row r="26" spans="2:12" x14ac:dyDescent="0.25">
      <c r="I26">
        <f>I18*10^6/8000/I23</f>
        <v>0.10386539304840138</v>
      </c>
      <c r="L26">
        <f>L18*10^6/8000/L23</f>
        <v>0.13951302177365515</v>
      </c>
    </row>
    <row r="28" spans="2:12" x14ac:dyDescent="0.25">
      <c r="E28" t="s">
        <v>139</v>
      </c>
      <c r="F28" s="55">
        <f>OPEX!H6/Summary!C23</f>
        <v>0.65127768705287892</v>
      </c>
      <c r="K28" t="s">
        <v>139</v>
      </c>
      <c r="L28" s="55">
        <f>OPEX!H7/Summary!L23</f>
        <v>1.2217818076065263</v>
      </c>
    </row>
    <row r="29" spans="2:12" x14ac:dyDescent="0.25">
      <c r="E29" t="s">
        <v>25</v>
      </c>
      <c r="F29" s="55">
        <f>OPEX!H11/Summary!F23</f>
        <v>4.6687259526730654E-2</v>
      </c>
      <c r="K29" t="s">
        <v>25</v>
      </c>
      <c r="L29" s="55">
        <f>F29</f>
        <v>4.6687259526730654E-2</v>
      </c>
    </row>
    <row r="30" spans="2:12" x14ac:dyDescent="0.25">
      <c r="E30" t="s">
        <v>140</v>
      </c>
      <c r="F30" s="55">
        <f>OPEX!H10/Summary!F23</f>
        <v>1.7172635299031714E-3</v>
      </c>
      <c r="K30" t="s">
        <v>140</v>
      </c>
      <c r="L30" s="55">
        <f>F30</f>
        <v>1.7172635299031714E-3</v>
      </c>
    </row>
    <row r="31" spans="2:12" x14ac:dyDescent="0.25">
      <c r="E31" t="s">
        <v>141</v>
      </c>
      <c r="F31" s="55">
        <f>OPEX!H9/Summary!F23</f>
        <v>2.1329050231486523E-3</v>
      </c>
      <c r="K31" t="s">
        <v>141</v>
      </c>
      <c r="L31" s="55">
        <f>F31</f>
        <v>2.1329050231486523E-3</v>
      </c>
    </row>
    <row r="32" spans="2:12" x14ac:dyDescent="0.25">
      <c r="E32" t="s">
        <v>142</v>
      </c>
      <c r="F32" s="55">
        <f>F18*10^6/8000/F23</f>
        <v>0.13951302177365515</v>
      </c>
      <c r="K32" t="s">
        <v>142</v>
      </c>
      <c r="L32" s="55">
        <f>F32</f>
        <v>0.13951302177365515</v>
      </c>
    </row>
    <row r="33" spans="6:12" x14ac:dyDescent="0.25">
      <c r="F33" s="55">
        <f>SUM(F28:F32)</f>
        <v>0.84132813690631658</v>
      </c>
      <c r="L33" s="55">
        <f>SUM(L28:L32)</f>
        <v>1.411832257459964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2025-01-06T09:00:47Z</dcterms:modified>
</cp:coreProperties>
</file>