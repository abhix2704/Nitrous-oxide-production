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BAU_nitrous_oxide\"/>
    </mc:Choice>
  </mc:AlternateContent>
  <xr:revisionPtr revIDLastSave="0" documentId="13_ncr:1_{282A4CB5-2787-48A8-9744-CA02089AE930}" xr6:coauthVersionLast="36" xr6:coauthVersionMax="36" xr10:uidLastSave="{00000000-0000-0000-0000-000000000000}"/>
  <bookViews>
    <workbookView xWindow="0" yWindow="0" windowWidth="19200" windowHeight="6585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E3" i="3"/>
  <c r="E2" i="3"/>
  <c r="G7" i="1"/>
  <c r="F7" i="1"/>
  <c r="E9" i="3" l="1"/>
  <c r="D3" i="2"/>
  <c r="D5" i="1"/>
  <c r="D4" i="1"/>
  <c r="C10" i="2" l="1"/>
  <c r="D8" i="2" l="1"/>
  <c r="D7" i="2"/>
  <c r="E12" i="1" l="1"/>
  <c r="E11" i="1"/>
  <c r="E10" i="1" l="1"/>
  <c r="F11" i="1" s="1"/>
  <c r="E9" i="1"/>
  <c r="E8" i="1"/>
  <c r="D9" i="2" l="1"/>
  <c r="D6" i="2"/>
  <c r="D5" i="2"/>
  <c r="D4" i="2"/>
  <c r="E7" i="1"/>
  <c r="D10" i="2" l="1"/>
  <c r="E6" i="1"/>
  <c r="E5" i="1"/>
  <c r="E4" i="1"/>
  <c r="E13" i="1"/>
  <c r="C3" i="3" l="1"/>
  <c r="D3" i="3" s="1"/>
  <c r="E8" i="3"/>
  <c r="C2" i="3" s="1"/>
  <c r="D2" i="3" s="1"/>
</calcChain>
</file>

<file path=xl/sharedStrings.xml><?xml version="1.0" encoding="utf-8"?>
<sst xmlns="http://schemas.openxmlformats.org/spreadsheetml/2006/main" count="70" uniqueCount="46">
  <si>
    <t>Component</t>
  </si>
  <si>
    <t>Type</t>
  </si>
  <si>
    <t>Mass flow (kg/hr)</t>
  </si>
  <si>
    <t>Water</t>
  </si>
  <si>
    <t>Ammonia</t>
  </si>
  <si>
    <t>kWh</t>
  </si>
  <si>
    <t>Block</t>
  </si>
  <si>
    <t>Compressor</t>
  </si>
  <si>
    <t>K-100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</si>
  <si>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</si>
  <si>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</si>
  <si>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</si>
  <si>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</si>
  <si>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</si>
  <si>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</si>
  <si>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</si>
  <si>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</si>
  <si>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</si>
  <si>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r>
      <t>Final product: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</si>
  <si>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Mass/kg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</si>
  <si>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</si>
  <si>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</si>
  <si>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t>Nitrous oxide</t>
  </si>
  <si>
    <t>Feed</t>
  </si>
  <si>
    <t>Emissions</t>
  </si>
  <si>
    <t>Product</t>
  </si>
  <si>
    <t>Stream name</t>
  </si>
  <si>
    <t>Data used for calculating the mass flow rate taken from Aspen energy analyzer</t>
  </si>
  <si>
    <t>Flow rate (kg/h)</t>
  </si>
  <si>
    <r>
      <t>kWh/kg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</si>
  <si>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Flow/kg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</si>
  <si>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P-100</t>
  </si>
  <si>
    <t>Pump</t>
  </si>
  <si>
    <t>Purge gas</t>
  </si>
  <si>
    <t>Nitrogen dioxide</t>
  </si>
  <si>
    <t>Nitrogen monoxide</t>
  </si>
  <si>
    <t>Nitric acid</t>
  </si>
  <si>
    <t>Air</t>
  </si>
  <si>
    <t>K-101</t>
  </si>
  <si>
    <t>K-102</t>
  </si>
  <si>
    <t>K-103</t>
  </si>
  <si>
    <t>K-104</t>
  </si>
  <si>
    <t>K-105</t>
  </si>
  <si>
    <t>Nitrogen</t>
  </si>
  <si>
    <t>Oxygen</t>
  </si>
  <si>
    <t>Fired heat - natural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</si>
</sst>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0" fillId="0" borderId="0" xfId="0" applyNumberFormat="1"/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4" fontId="0" fillId="0" borderId="0" xfId="0" applyNumberFormat="1"/>
    <xf numFmtId="2" fontId="0" fillId="0" borderId="1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tabSelected="1" zoomScale="115" zoomScaleNormal="115" workbookViewId="0">
      <selection activeCell="D13" sqref="D13"/>
    </sheetView>
  </sheetViews>
  <sheetFormatPr defaultColWidth="9" defaultRowHeight="15" x14ac:dyDescent="0.25"/>
  <cols>
    <col min="1" max="1" width="16.42578125" style="1" bestFit="1" customWidth="1"/>
    <col min="2" max="2" width="18.5703125" style="1" bestFit="1" customWidth="1"/>
    <col min="3" max="3" width="11.140625" style="1" bestFit="1" customWidth="1"/>
    <col min="4" max="4" width="16" style="1" bestFit="1" customWidth="1"/>
    <col min="5" max="5" width="12" style="1" bestFit="1" customWidth="1"/>
    <col min="6" max="16384" width="9" style="1"/>
  </cols>
  <sheetData>
    <row r="1" spans="1:7" ht="18" x14ac:dyDescent="0.35">
      <c r="A1" s="2" t="s">
        <v>18</v>
      </c>
    </row>
    <row r="2" spans="1:7" x14ac:dyDescent="0.25">
      <c r="A2" s="2"/>
    </row>
    <row r="3" spans="1:7" ht="18" x14ac:dyDescent="0.35">
      <c r="A3" s="6" t="s">
        <v>26</v>
      </c>
      <c r="B3" s="6" t="s">
        <v>0</v>
      </c>
      <c r="C3" s="6" t="s">
        <v>1</v>
      </c>
      <c r="D3" s="6" t="s">
        <v>2</v>
      </c>
      <c r="E3" s="6" t="s">
        <v>19</v>
      </c>
    </row>
    <row r="4" spans="1:7" ht="18" customHeight="1" x14ac:dyDescent="0.25">
      <c r="A4" s="3" t="s">
        <v>37</v>
      </c>
      <c r="B4" s="3" t="s">
        <v>37</v>
      </c>
      <c r="C4" s="3" t="s">
        <v>23</v>
      </c>
      <c r="D4" s="4">
        <f>259653.5748+9636.03266480001</f>
        <v>269289.60746480001</v>
      </c>
      <c r="E4" s="5">
        <f t="shared" ref="E4:E10" si="0">D4/$D$13</f>
        <v>7.2192095071098645</v>
      </c>
    </row>
    <row r="5" spans="1:7" ht="18" x14ac:dyDescent="0.35">
      <c r="A5" s="3" t="s">
        <v>21</v>
      </c>
      <c r="B5" s="3" t="s">
        <v>4</v>
      </c>
      <c r="C5" s="3" t="s">
        <v>23</v>
      </c>
      <c r="D5" s="4">
        <f>16332.30704+17030.56</f>
        <v>33362.867039999997</v>
      </c>
      <c r="E5" s="5">
        <f t="shared" si="0"/>
        <v>0.89440334956518253</v>
      </c>
    </row>
    <row r="6" spans="1:7" x14ac:dyDescent="0.25">
      <c r="A6" s="3" t="s">
        <v>3</v>
      </c>
      <c r="B6" s="3" t="s">
        <v>3</v>
      </c>
      <c r="C6" s="3" t="s">
        <v>23</v>
      </c>
      <c r="D6" s="4">
        <v>18015.28</v>
      </c>
      <c r="E6" s="5">
        <f t="shared" si="0"/>
        <v>0.48295989538417805</v>
      </c>
    </row>
    <row r="7" spans="1:7" x14ac:dyDescent="0.25">
      <c r="A7" s="3" t="s">
        <v>3</v>
      </c>
      <c r="B7" s="3" t="s">
        <v>3</v>
      </c>
      <c r="C7" s="3" t="s">
        <v>24</v>
      </c>
      <c r="D7" s="4">
        <v>72568.125839708198</v>
      </c>
      <c r="E7" s="5">
        <f t="shared" si="0"/>
        <v>1.9454315705207659</v>
      </c>
      <c r="F7" s="22">
        <f>E7-E6</f>
        <v>1.4624716751365878</v>
      </c>
      <c r="G7" s="1">
        <f>F7/1000</f>
        <v>1.4624716751365878E-3</v>
      </c>
    </row>
    <row r="8" spans="1:7" x14ac:dyDescent="0.25">
      <c r="A8" s="3" t="s">
        <v>33</v>
      </c>
      <c r="B8" s="3" t="s">
        <v>43</v>
      </c>
      <c r="C8" s="3" t="s">
        <v>24</v>
      </c>
      <c r="D8" s="4">
        <f>206520.394118538+1679.05795750001</f>
        <v>208199.45207603803</v>
      </c>
      <c r="E8" s="5">
        <f t="shared" si="0"/>
        <v>5.581483362661392</v>
      </c>
    </row>
    <row r="9" spans="1:7" x14ac:dyDescent="0.25">
      <c r="A9" s="3" t="s">
        <v>33</v>
      </c>
      <c r="B9" s="3" t="s">
        <v>44</v>
      </c>
      <c r="C9" s="3" t="s">
        <v>24</v>
      </c>
      <c r="D9" s="4">
        <v>1.25044712527556</v>
      </c>
      <c r="E9" s="5">
        <f t="shared" si="0"/>
        <v>3.3522421677960638E-5</v>
      </c>
      <c r="F9" s="18"/>
    </row>
    <row r="10" spans="1:7" x14ac:dyDescent="0.25">
      <c r="A10" s="3" t="s">
        <v>33</v>
      </c>
      <c r="B10" s="3" t="s">
        <v>34</v>
      </c>
      <c r="C10" s="3" t="s">
        <v>24</v>
      </c>
      <c r="D10" s="4">
        <v>1102.9828215</v>
      </c>
      <c r="E10" s="5">
        <f t="shared" si="0"/>
        <v>2.9569147306185949E-2</v>
      </c>
      <c r="F10" s="18"/>
    </row>
    <row r="11" spans="1:7" x14ac:dyDescent="0.25">
      <c r="A11" s="3" t="s">
        <v>33</v>
      </c>
      <c r="B11" s="3" t="s">
        <v>35</v>
      </c>
      <c r="C11" s="3" t="s">
        <v>24</v>
      </c>
      <c r="D11" s="21">
        <v>1438.7944130000001</v>
      </c>
      <c r="E11" s="5">
        <f t="shared" ref="E11:E12" si="1">D11/$D$13</f>
        <v>3.8571701310322122E-2</v>
      </c>
      <c r="F11" s="23">
        <f>E10+E11</f>
        <v>6.8140848616508071E-2</v>
      </c>
    </row>
    <row r="12" spans="1:7" x14ac:dyDescent="0.25">
      <c r="A12" s="3" t="s">
        <v>33</v>
      </c>
      <c r="B12" s="3" t="s">
        <v>36</v>
      </c>
      <c r="C12" s="3" t="s">
        <v>24</v>
      </c>
      <c r="D12" s="21">
        <v>55.3352947902276</v>
      </c>
      <c r="E12" s="5">
        <f t="shared" si="1"/>
        <v>1.4834478388868215E-3</v>
      </c>
      <c r="F12" s="19"/>
    </row>
    <row r="13" spans="1:7" ht="18" x14ac:dyDescent="0.35">
      <c r="A13" s="3" t="s">
        <v>20</v>
      </c>
      <c r="B13" s="3" t="s">
        <v>22</v>
      </c>
      <c r="C13" s="3" t="s">
        <v>25</v>
      </c>
      <c r="D13" s="4">
        <v>37301.8136126385</v>
      </c>
      <c r="E13" s="5">
        <f>D13/$D$13</f>
        <v>1</v>
      </c>
      <c r="F13" s="18"/>
    </row>
    <row r="14" spans="1:7" x14ac:dyDescent="0.25">
      <c r="F14" s="18"/>
    </row>
    <row r="15" spans="1:7" x14ac:dyDescent="0.25">
      <c r="F15" s="18"/>
    </row>
    <row r="16" spans="1:7" x14ac:dyDescent="0.25">
      <c r="F16" s="18"/>
    </row>
    <row r="17" spans="6:6" x14ac:dyDescent="0.25">
      <c r="F17" s="18"/>
    </row>
    <row r="18" spans="6:6" x14ac:dyDescent="0.25">
      <c r="F18" s="18"/>
    </row>
    <row r="19" spans="6:6" x14ac:dyDescent="0.25">
      <c r="F19" s="18"/>
    </row>
    <row r="20" spans="6:6" x14ac:dyDescent="0.25">
      <c r="F20" s="18"/>
    </row>
    <row r="21" spans="6:6" x14ac:dyDescent="0.25">
      <c r="F21" s="18"/>
    </row>
    <row r="22" spans="6:6" x14ac:dyDescent="0.25">
      <c r="F22" s="18"/>
    </row>
    <row r="23" spans="6:6" x14ac:dyDescent="0.25">
      <c r="F23" s="18"/>
    </row>
    <row r="24" spans="6:6" x14ac:dyDescent="0.25">
      <c r="F24" s="18"/>
    </row>
    <row r="25" spans="6:6" x14ac:dyDescent="0.25">
      <c r="F25" s="18"/>
    </row>
    <row r="26" spans="6:6" x14ac:dyDescent="0.25">
      <c r="F26" s="18"/>
    </row>
    <row r="27" spans="6:6" x14ac:dyDescent="0.25">
      <c r="F27" s="18"/>
    </row>
    <row r="28" spans="6:6" x14ac:dyDescent="0.25">
      <c r="F28" s="18"/>
    </row>
    <row r="29" spans="6:6" x14ac:dyDescent="0.25">
      <c r="F29" s="18"/>
    </row>
    <row r="30" spans="6:6" x14ac:dyDescent="0.25">
      <c r="F30" s="18"/>
    </row>
    <row r="31" spans="6:6" x14ac:dyDescent="0.25">
      <c r="F31" s="18"/>
    </row>
    <row r="32" spans="6:6" x14ac:dyDescent="0.25">
      <c r="F32" s="18"/>
    </row>
    <row r="33" spans="6:6" x14ac:dyDescent="0.25">
      <c r="F33" s="18"/>
    </row>
    <row r="34" spans="6:6" x14ac:dyDescent="0.25">
      <c r="F34" s="18"/>
    </row>
    <row r="35" spans="6:6" x14ac:dyDescent="0.25">
      <c r="F35" s="18"/>
    </row>
    <row r="36" spans="6:6" x14ac:dyDescent="0.25">
      <c r="F36" s="18"/>
    </row>
    <row r="37" spans="6:6" x14ac:dyDescent="0.25">
      <c r="F37" s="18"/>
    </row>
    <row r="38" spans="6:6" x14ac:dyDescent="0.25">
      <c r="F38" s="18"/>
    </row>
    <row r="39" spans="6:6" x14ac:dyDescent="0.25">
      <c r="F39" s="18"/>
    </row>
    <row r="40" spans="6:6" x14ac:dyDescent="0.25">
      <c r="F40" s="18"/>
    </row>
    <row r="41" spans="6:6" x14ac:dyDescent="0.25">
      <c r="F41" s="18"/>
    </row>
    <row r="42" spans="6:6" x14ac:dyDescent="0.25">
      <c r="F42" s="18"/>
    </row>
    <row r="43" spans="6:6" x14ac:dyDescent="0.25">
      <c r="F43" s="18"/>
    </row>
    <row r="44" spans="6:6" x14ac:dyDescent="0.25">
      <c r="F44" s="18"/>
    </row>
    <row r="45" spans="6:6" x14ac:dyDescent="0.25">
      <c r="F45" s="18"/>
    </row>
    <row r="46" spans="6:6" x14ac:dyDescent="0.25">
      <c r="F46" s="18"/>
    </row>
    <row r="47" spans="6:6" x14ac:dyDescent="0.25">
      <c r="F47" s="18"/>
    </row>
    <row r="48" spans="6:6" x14ac:dyDescent="0.25">
      <c r="F48" s="18"/>
    </row>
    <row r="49" spans="6:6" x14ac:dyDescent="0.25">
      <c r="F49" s="18"/>
    </row>
    <row r="50" spans="6:6" x14ac:dyDescent="0.25">
      <c r="F50" s="18"/>
    </row>
    <row r="51" spans="6:6" x14ac:dyDescent="0.25">
      <c r="F51" s="18"/>
    </row>
    <row r="52" spans="6:6" x14ac:dyDescent="0.25">
      <c r="F52" s="18"/>
    </row>
    <row r="53" spans="6:6" x14ac:dyDescent="0.25">
      <c r="F53" s="18"/>
    </row>
    <row r="54" spans="6:6" x14ac:dyDescent="0.25">
      <c r="F54" s="18"/>
    </row>
    <row r="55" spans="6:6" x14ac:dyDescent="0.25">
      <c r="F55" s="18"/>
    </row>
    <row r="56" spans="6:6" x14ac:dyDescent="0.25">
      <c r="F56" s="18"/>
    </row>
    <row r="57" spans="6:6" x14ac:dyDescent="0.25">
      <c r="F57" s="18"/>
    </row>
    <row r="58" spans="6:6" x14ac:dyDescent="0.25">
      <c r="F58" s="18"/>
    </row>
    <row r="59" spans="6:6" x14ac:dyDescent="0.25">
      <c r="F59" s="18"/>
    </row>
    <row r="60" spans="6:6" x14ac:dyDescent="0.25">
      <c r="F60" s="18"/>
    </row>
    <row r="61" spans="6:6" x14ac:dyDescent="0.25">
      <c r="F61" s="18"/>
    </row>
    <row r="62" spans="6:6" x14ac:dyDescent="0.25">
      <c r="F62" s="18"/>
    </row>
    <row r="63" spans="6:6" x14ac:dyDescent="0.25">
      <c r="F63" s="18"/>
    </row>
    <row r="64" spans="6:6" x14ac:dyDescent="0.25">
      <c r="F64" s="18"/>
    </row>
    <row r="65" spans="6:6" x14ac:dyDescent="0.25">
      <c r="F65" s="18"/>
    </row>
    <row r="66" spans="6:6" x14ac:dyDescent="0.25">
      <c r="F66" s="18"/>
    </row>
    <row r="67" spans="6:6" x14ac:dyDescent="0.25">
      <c r="F67" s="18"/>
    </row>
    <row r="68" spans="6:6" x14ac:dyDescent="0.25">
      <c r="F68" s="18"/>
    </row>
    <row r="69" spans="6:6" x14ac:dyDescent="0.25">
      <c r="F69" s="18"/>
    </row>
    <row r="70" spans="6:6" x14ac:dyDescent="0.25">
      <c r="F70" s="18"/>
    </row>
    <row r="71" spans="6:6" x14ac:dyDescent="0.25">
      <c r="F71" s="18"/>
    </row>
    <row r="72" spans="6:6" x14ac:dyDescent="0.25">
      <c r="F72" s="18"/>
    </row>
    <row r="73" spans="6:6" x14ac:dyDescent="0.25">
      <c r="F73" s="18"/>
    </row>
    <row r="74" spans="6:6" x14ac:dyDescent="0.25">
      <c r="F74" s="18"/>
    </row>
    <row r="75" spans="6:6" x14ac:dyDescent="0.25">
      <c r="F75" s="18"/>
    </row>
    <row r="76" spans="6:6" x14ac:dyDescent="0.25">
      <c r="F76" s="18"/>
    </row>
    <row r="77" spans="6:6" x14ac:dyDescent="0.25">
      <c r="F77" s="18"/>
    </row>
    <row r="78" spans="6:6" x14ac:dyDescent="0.25">
      <c r="F78" s="18"/>
    </row>
    <row r="79" spans="6:6" x14ac:dyDescent="0.25">
      <c r="F79" s="18"/>
    </row>
    <row r="80" spans="6:6" x14ac:dyDescent="0.25">
      <c r="F80" s="18"/>
    </row>
    <row r="81" spans="6:6" x14ac:dyDescent="0.25">
      <c r="F81" s="18"/>
    </row>
    <row r="82" spans="6:6" x14ac:dyDescent="0.25">
      <c r="F82" s="18"/>
    </row>
    <row r="83" spans="6:6" x14ac:dyDescent="0.25">
      <c r="F83" s="18"/>
    </row>
    <row r="84" spans="6:6" x14ac:dyDescent="0.25">
      <c r="F84" s="18"/>
    </row>
    <row r="85" spans="6:6" x14ac:dyDescent="0.25">
      <c r="F85" s="18"/>
    </row>
    <row r="86" spans="6:6" x14ac:dyDescent="0.25">
      <c r="F86" s="18"/>
    </row>
    <row r="87" spans="6:6" x14ac:dyDescent="0.25">
      <c r="F87" s="18"/>
    </row>
    <row r="88" spans="6:6" x14ac:dyDescent="0.25">
      <c r="F88" s="18"/>
    </row>
    <row r="89" spans="6:6" x14ac:dyDescent="0.25">
      <c r="F89" s="18"/>
    </row>
    <row r="90" spans="6:6" x14ac:dyDescent="0.25">
      <c r="F90" s="18"/>
    </row>
    <row r="91" spans="6:6" x14ac:dyDescent="0.25">
      <c r="F91" s="18"/>
    </row>
    <row r="92" spans="6:6" x14ac:dyDescent="0.25">
      <c r="F92" s="18"/>
    </row>
    <row r="93" spans="6:6" x14ac:dyDescent="0.25">
      <c r="F93" s="18"/>
    </row>
    <row r="94" spans="6:6" x14ac:dyDescent="0.25">
      <c r="F94" s="18"/>
    </row>
    <row r="95" spans="6:6" x14ac:dyDescent="0.25">
      <c r="F95" s="18"/>
    </row>
    <row r="96" spans="6:6" x14ac:dyDescent="0.25">
      <c r="F96" s="18"/>
    </row>
    <row r="97" spans="6:6" x14ac:dyDescent="0.25">
      <c r="F97" s="18"/>
    </row>
    <row r="98" spans="6:6" x14ac:dyDescent="0.25">
      <c r="F98" s="18"/>
    </row>
    <row r="99" spans="6:6" x14ac:dyDescent="0.25">
      <c r="F99" s="18"/>
    </row>
    <row r="100" spans="6:6" x14ac:dyDescent="0.25">
      <c r="F100" s="18"/>
    </row>
    <row r="101" spans="6:6" x14ac:dyDescent="0.25">
      <c r="F101" s="18"/>
    </row>
    <row r="102" spans="6:6" x14ac:dyDescent="0.25">
      <c r="F102" s="18"/>
    </row>
    <row r="103" spans="6:6" x14ac:dyDescent="0.25">
      <c r="F103" s="18"/>
    </row>
    <row r="104" spans="6:6" x14ac:dyDescent="0.25">
      <c r="F104" s="1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0"/>
  <sheetViews>
    <sheetView zoomScale="160" zoomScaleNormal="160" workbookViewId="0">
      <selection activeCell="D10" sqref="D10"/>
    </sheetView>
  </sheetViews>
  <sheetFormatPr defaultRowHeight="15" x14ac:dyDescent="0.25"/>
  <cols>
    <col min="1" max="1" width="9.5703125" style="1" bestFit="1" customWidth="1"/>
    <col min="2" max="2" width="15.7109375" style="1" bestFit="1" customWidth="1"/>
    <col min="3" max="3" width="11.7109375" style="1" bestFit="1" customWidth="1"/>
    <col min="4" max="4" width="11.42578125" style="1" bestFit="1" customWidth="1"/>
    <col min="6" max="6" width="10.140625" bestFit="1" customWidth="1"/>
    <col min="7" max="7" width="11.140625" bestFit="1" customWidth="1"/>
  </cols>
  <sheetData>
    <row r="2" spans="1:6" ht="18" x14ac:dyDescent="0.35">
      <c r="A2" s="6" t="s">
        <v>6</v>
      </c>
      <c r="B2" s="6" t="s">
        <v>1</v>
      </c>
      <c r="C2" s="6" t="s">
        <v>5</v>
      </c>
      <c r="D2" s="6" t="s">
        <v>29</v>
      </c>
    </row>
    <row r="3" spans="1:6" x14ac:dyDescent="0.25">
      <c r="A3" s="3" t="s">
        <v>8</v>
      </c>
      <c r="B3" s="3" t="s">
        <v>7</v>
      </c>
      <c r="C3" s="4">
        <v>12404.5008</v>
      </c>
      <c r="D3" s="5">
        <f>C3/'Material streams'!$D$13</f>
        <v>0.33254417409337816</v>
      </c>
      <c r="E3" s="15"/>
      <c r="F3" s="15"/>
    </row>
    <row r="4" spans="1:6" x14ac:dyDescent="0.25">
      <c r="A4" s="3" t="s">
        <v>38</v>
      </c>
      <c r="B4" s="3" t="s">
        <v>7</v>
      </c>
      <c r="C4" s="4">
        <v>5465.3973400000004</v>
      </c>
      <c r="D4" s="5">
        <f>C4/'Material streams'!$D$13</f>
        <v>0.1465182737964309</v>
      </c>
      <c r="E4" s="15"/>
      <c r="F4" s="15"/>
    </row>
    <row r="5" spans="1:6" x14ac:dyDescent="0.25">
      <c r="A5" s="3" t="s">
        <v>39</v>
      </c>
      <c r="B5" s="3" t="s">
        <v>7</v>
      </c>
      <c r="C5" s="4">
        <v>459.68808100000001</v>
      </c>
      <c r="D5" s="5">
        <f>C5/'Material streams'!$D$13</f>
        <v>1.2323478042479139E-2</v>
      </c>
      <c r="E5" s="15"/>
      <c r="F5" s="15"/>
    </row>
    <row r="6" spans="1:6" x14ac:dyDescent="0.25">
      <c r="A6" s="3" t="s">
        <v>40</v>
      </c>
      <c r="B6" s="3" t="s">
        <v>7</v>
      </c>
      <c r="C6" s="4">
        <v>207.32995</v>
      </c>
      <c r="D6" s="5">
        <f>C6/'Material streams'!$D$13</f>
        <v>5.5581734484286046E-3</v>
      </c>
      <c r="E6" s="15"/>
      <c r="F6" s="15"/>
    </row>
    <row r="7" spans="1:6" x14ac:dyDescent="0.25">
      <c r="A7" s="3" t="s">
        <v>41</v>
      </c>
      <c r="B7" s="3" t="s">
        <v>7</v>
      </c>
      <c r="C7" s="4">
        <v>1359.2785200000001</v>
      </c>
      <c r="D7" s="5">
        <f>C7/'Material streams'!$D$13</f>
        <v>3.6440011580012102E-2</v>
      </c>
      <c r="E7" s="15"/>
      <c r="F7" s="15"/>
    </row>
    <row r="8" spans="1:6" x14ac:dyDescent="0.25">
      <c r="A8" s="3" t="s">
        <v>42</v>
      </c>
      <c r="B8" s="3" t="s">
        <v>7</v>
      </c>
      <c r="C8" s="4">
        <v>516.06535899999994</v>
      </c>
      <c r="D8" s="5">
        <f>C8/'Material streams'!$D$13</f>
        <v>1.3834859729853674E-2</v>
      </c>
      <c r="E8" s="15"/>
      <c r="F8" s="15"/>
    </row>
    <row r="9" spans="1:6" x14ac:dyDescent="0.25">
      <c r="A9" s="3" t="s">
        <v>31</v>
      </c>
      <c r="B9" s="16" t="s">
        <v>32</v>
      </c>
      <c r="C9" s="4">
        <v>4.1461979600000003</v>
      </c>
      <c r="D9" s="5">
        <f>C9/'Material streams'!$D$13</f>
        <v>1.1115271774869404E-4</v>
      </c>
      <c r="E9" s="15"/>
      <c r="F9" s="15"/>
    </row>
    <row r="10" spans="1:6" ht="14.25" customHeight="1" x14ac:dyDescent="0.25">
      <c r="A10" s="3"/>
      <c r="B10" s="12" t="s">
        <v>9</v>
      </c>
      <c r="C10" s="13">
        <f>SUM(C3:C9)</f>
        <v>20416.40624796</v>
      </c>
      <c r="D10" s="17">
        <f>SUM(D3:D9)</f>
        <v>0.5473301234083312</v>
      </c>
      <c r="E10" s="14"/>
      <c r="F1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zoomScale="145" zoomScaleNormal="145" workbookViewId="0">
      <selection activeCell="E15" sqref="E15"/>
    </sheetView>
  </sheetViews>
  <sheetFormatPr defaultRowHeight="15" x14ac:dyDescent="0.25"/>
  <cols>
    <col min="1" max="1" width="26" customWidth="1"/>
    <col min="2" max="2" width="19.85546875" bestFit="1" customWidth="1"/>
    <col min="3" max="3" width="21.28515625" bestFit="1" customWidth="1"/>
    <col min="4" max="4" width="19.140625" bestFit="1" customWidth="1"/>
    <col min="5" max="5" width="7.85546875" bestFit="1" customWidth="1"/>
    <col min="6" max="6" width="4.7109375" bestFit="1" customWidth="1"/>
    <col min="7" max="7" width="5.28515625" bestFit="1" customWidth="1"/>
    <col min="8" max="8" width="12.140625" bestFit="1" customWidth="1"/>
    <col min="11" max="11" width="13" bestFit="1" customWidth="1"/>
  </cols>
  <sheetData>
    <row r="1" spans="1:8" ht="18" x14ac:dyDescent="0.35">
      <c r="A1" s="6" t="s">
        <v>10</v>
      </c>
      <c r="B1" s="6" t="s">
        <v>11</v>
      </c>
      <c r="C1" s="6" t="s">
        <v>28</v>
      </c>
      <c r="D1" s="8" t="s">
        <v>30</v>
      </c>
    </row>
    <row r="2" spans="1:8" x14ac:dyDescent="0.25">
      <c r="A2" s="3" t="s">
        <v>17</v>
      </c>
      <c r="B2" s="4">
        <v>482781209.37728101</v>
      </c>
      <c r="C2" s="4">
        <f>B2/B8/E8</f>
        <v>23083012.6405585</v>
      </c>
      <c r="D2" s="4">
        <f>C2/'Material streams'!$D$13</f>
        <v>618.81743553449041</v>
      </c>
      <c r="E2" s="20">
        <f>B2/1000/'Material streams'!$D$13</f>
        <v>12.942566664203866</v>
      </c>
    </row>
    <row r="3" spans="1:8" x14ac:dyDescent="0.25">
      <c r="A3" s="3" t="s">
        <v>45</v>
      </c>
      <c r="B3" s="4">
        <v>10473813.7119851</v>
      </c>
      <c r="C3" s="4">
        <f>B3/B9/E9</f>
        <v>222.37396416104247</v>
      </c>
      <c r="D3" s="4">
        <f>C3/'Material streams'!$D$13</f>
        <v>5.9614786152300736E-3</v>
      </c>
      <c r="E3" s="20">
        <f>B3/1000/'Material streams'!$D$13</f>
        <v>0.28078564277733647</v>
      </c>
      <c r="H3" s="10"/>
    </row>
    <row r="6" spans="1:8" x14ac:dyDescent="0.25">
      <c r="A6" s="7" t="s">
        <v>27</v>
      </c>
    </row>
    <row r="7" spans="1:8" ht="18" x14ac:dyDescent="0.35">
      <c r="A7" s="6" t="s">
        <v>10</v>
      </c>
      <c r="B7" s="6" t="s">
        <v>12</v>
      </c>
      <c r="C7" s="9" t="s">
        <v>14</v>
      </c>
      <c r="D7" s="9" t="s">
        <v>15</v>
      </c>
      <c r="E7" s="9" t="s">
        <v>13</v>
      </c>
    </row>
    <row r="8" spans="1:8" x14ac:dyDescent="0.25">
      <c r="A8" s="3" t="s">
        <v>17</v>
      </c>
      <c r="B8" s="4">
        <v>4.1829999999999998</v>
      </c>
      <c r="C8" s="3">
        <v>15</v>
      </c>
      <c r="D8" s="3">
        <v>20</v>
      </c>
      <c r="E8" s="3">
        <f>D8-C8</f>
        <v>5</v>
      </c>
    </row>
    <row r="9" spans="1:8" x14ac:dyDescent="0.25">
      <c r="A9" s="3" t="s">
        <v>45</v>
      </c>
      <c r="B9" s="3">
        <v>47100</v>
      </c>
      <c r="C9" s="3">
        <v>1247</v>
      </c>
      <c r="D9" s="3">
        <v>1246</v>
      </c>
      <c r="E9" s="3">
        <f>C9-D9</f>
        <v>1</v>
      </c>
    </row>
    <row r="11" spans="1:8" x14ac:dyDescent="0.25">
      <c r="E11" s="11"/>
    </row>
    <row r="12" spans="1:8" x14ac:dyDescent="0.25">
      <c r="A12" t="s">
        <v>16</v>
      </c>
      <c r="E12" s="11"/>
    </row>
    <row r="13" spans="1:8" x14ac:dyDescent="0.25">
      <c r="E13" s="11"/>
    </row>
    <row r="14" spans="1:8" x14ac:dyDescent="0.25">
      <c r="D14" s="11"/>
      <c r="E14" s="11"/>
    </row>
    <row r="15" spans="1:8" x14ac:dyDescent="0.25">
      <c r="E15" s="11"/>
    </row>
    <row r="16" spans="1:8" x14ac:dyDescent="0.25">
      <c r="D16" s="11"/>
      <c r="E16" s="11"/>
    </row>
    <row r="17" spans="4:5" x14ac:dyDescent="0.25">
      <c r="E17" s="11"/>
    </row>
    <row r="18" spans="4:5" x14ac:dyDescent="0.25">
      <c r="E18" s="11"/>
    </row>
    <row r="19" spans="4:5" x14ac:dyDescent="0.25">
      <c r="E19" s="11"/>
    </row>
    <row r="20" spans="4:5" x14ac:dyDescent="0.25">
      <c r="E20" s="11"/>
    </row>
    <row r="21" spans="4:5" x14ac:dyDescent="0.25">
      <c r="D21" s="11"/>
      <c r="E21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2025-05-26T06:55:20Z</dcterms:modified>
</cp:coreProperties>
</file>