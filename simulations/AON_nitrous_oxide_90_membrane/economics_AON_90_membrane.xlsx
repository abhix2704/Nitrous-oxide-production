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90_MS\"/>
    </mc:Choice>
  </mc:AlternateContent>
  <xr:revisionPtr revIDLastSave="0" documentId="13_ncr:1_{DCABBABB-B500-45C4-A668-0BFFB2B57492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7" l="1"/>
  <c r="N18" i="7"/>
  <c r="N17" i="7"/>
  <c r="N16" i="7"/>
  <c r="O19" i="7"/>
  <c r="P19" i="7" s="1"/>
  <c r="O18" i="7"/>
  <c r="P18" i="7" s="1"/>
  <c r="O17" i="7"/>
  <c r="P17" i="7" s="1"/>
  <c r="O16" i="7"/>
  <c r="P16" i="7" s="1"/>
  <c r="N15" i="7"/>
  <c r="N14" i="7"/>
  <c r="N13" i="7"/>
  <c r="M15" i="7"/>
  <c r="Q19" i="7" l="1"/>
  <c r="S19" i="7" s="1"/>
  <c r="D36" i="7" s="1"/>
  <c r="H36" i="7" s="1"/>
  <c r="Q17" i="7"/>
  <c r="S17" i="7" s="1"/>
  <c r="D34" i="7" s="1"/>
  <c r="H34" i="7" s="1"/>
  <c r="Q16" i="7"/>
  <c r="S16" i="7" s="1"/>
  <c r="D33" i="7" s="1"/>
  <c r="H33" i="7" s="1"/>
  <c r="Q18" i="7"/>
  <c r="S18" i="7" s="1"/>
  <c r="D35" i="7" s="1"/>
  <c r="H35" i="7" s="1"/>
  <c r="H19" i="7"/>
  <c r="H18" i="7"/>
  <c r="H17" i="7"/>
  <c r="H16" i="7"/>
  <c r="H15" i="7"/>
  <c r="H37" i="7" l="1"/>
  <c r="D27" i="7"/>
  <c r="H27" i="7" s="1"/>
  <c r="D26" i="7"/>
  <c r="H26" i="7" s="1"/>
  <c r="D25" i="7"/>
  <c r="H25" i="7" s="1"/>
  <c r="D24" i="7"/>
  <c r="H24" i="7" s="1"/>
  <c r="D23" i="7"/>
  <c r="H23" i="7" s="1"/>
  <c r="K4" i="8" l="1"/>
  <c r="J16" i="8" l="1"/>
  <c r="J15" i="8"/>
  <c r="E9" i="8" l="1"/>
  <c r="E11" i="8"/>
  <c r="D22" i="7" l="1"/>
  <c r="H22" i="7" s="1"/>
  <c r="D21" i="7"/>
  <c r="H21" i="7" s="1"/>
  <c r="O14" i="7" l="1"/>
  <c r="P14" i="7" s="1"/>
  <c r="Q14" i="7" s="1"/>
  <c r="S14" i="7" s="1"/>
  <c r="D32" i="7" s="1"/>
  <c r="H14" i="7"/>
  <c r="H32" i="7" l="1"/>
  <c r="G17" i="11"/>
  <c r="G16" i="11"/>
  <c r="G15" i="11"/>
  <c r="F11" i="8"/>
  <c r="F5" i="8"/>
  <c r="F7" i="8"/>
  <c r="F6" i="8"/>
  <c r="F9" i="8" l="1"/>
  <c r="F13" i="8" l="1"/>
  <c r="G20" i="11" s="1"/>
  <c r="F12" i="8"/>
  <c r="C20" i="11" s="1"/>
  <c r="C14" i="11"/>
  <c r="G14" i="11" s="1"/>
  <c r="C13" i="11"/>
  <c r="G13" i="11" s="1"/>
  <c r="C12" i="11"/>
  <c r="G12" i="11" s="1"/>
  <c r="C11" i="11"/>
  <c r="G11" i="11" s="1"/>
  <c r="C6" i="12"/>
  <c r="C7" i="12" s="1"/>
  <c r="B54" i="7"/>
  <c r="C8" i="12" l="1"/>
  <c r="C9" i="12" s="1"/>
  <c r="O15" i="7" l="1"/>
  <c r="P15" i="7" s="1"/>
  <c r="Q15" i="7" s="1"/>
  <c r="S15" i="7" s="1"/>
  <c r="D29" i="7" s="1"/>
  <c r="H29" i="7" l="1"/>
  <c r="O13" i="7" l="1"/>
  <c r="P13" i="7" s="1"/>
  <c r="Q13" i="7" s="1"/>
  <c r="S13" i="7" s="1"/>
  <c r="D31" i="7" s="1"/>
  <c r="H31" i="7" l="1"/>
  <c r="B41" i="7" l="1"/>
  <c r="B42" i="7"/>
  <c r="B45" i="7" s="1"/>
  <c r="C3" i="11"/>
  <c r="G3" i="11" s="1"/>
  <c r="B49" i="7" l="1"/>
  <c r="B46" i="7"/>
  <c r="B48" i="7" s="1"/>
  <c r="C7" i="11" s="1"/>
  <c r="G7" i="11" s="1"/>
  <c r="C11" i="12"/>
  <c r="C4" i="11"/>
  <c r="G4" i="11" s="1"/>
  <c r="C15" i="12" l="1"/>
  <c r="B47" i="7"/>
  <c r="C6" i="11" s="1"/>
  <c r="G6" i="11" s="1"/>
  <c r="C5" i="11"/>
  <c r="G5" i="11" s="1"/>
  <c r="C12" i="12"/>
  <c r="C14" i="12"/>
  <c r="C16" i="12" s="1"/>
  <c r="B50" i="7"/>
  <c r="C8" i="11"/>
  <c r="G8" i="11" s="1"/>
  <c r="B51" i="7" l="1"/>
  <c r="C18" i="12"/>
  <c r="C19" i="12" s="1"/>
  <c r="C20" i="12" s="1"/>
  <c r="C9" i="11"/>
  <c r="G9" i="11" s="1"/>
  <c r="C10" i="11" l="1"/>
  <c r="G10" i="11" s="1"/>
  <c r="B55" i="7"/>
  <c r="B56" i="7" s="1"/>
  <c r="C18" i="11" s="1"/>
  <c r="G18" i="11" l="1"/>
  <c r="C21" i="11"/>
  <c r="C22" i="11" s="1"/>
  <c r="C24" i="11" s="1"/>
  <c r="G21" i="11"/>
  <c r="G22" i="11" s="1"/>
  <c r="G24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Nabera  Abhinandan</author>
  </authors>
  <commentList>
    <comment ref="J4" authorId="0" shapeId="0" xr:uid="{97F20708-4D4B-46F7-B809-311490ED53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4" authorId="0" shapeId="0" xr:uid="{85439D71-B44F-4B1B-84B2-C176EA20096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</t>
        </r>
      </text>
    </comment>
    <comment ref="J5" authorId="0" shapeId="0" xr:uid="{626A91E7-0BF6-419F-8417-DE3AC665E4F4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5" authorId="0" shapeId="0" xr:uid="{0659FC25-5235-48FA-8C77-84F16511F470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Nabera et al. Green Chemistry 2024</t>
        </r>
      </text>
    </comment>
    <comment ref="B6" authorId="0" shapeId="0" xr:uid="{49307C41-9F71-4226-85ED-224ED93F748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7" authorId="0" shapeId="0" xr:uid="{FBA3E712-0900-4F1E-AE81-4FCB3DAF569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9" authorId="0" shapeId="0" xr:uid="{47DA3A76-7A22-4762-B8C5-B657AACD9A7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10" authorId="0" shapeId="0" xr:uid="{A0F8C47A-7886-4685-931B-B954AE04E98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https://www.sciencedirect.com/science/article/pii/S0098135417301394</t>
        </r>
      </text>
    </comment>
    <comment ref="J10" authorId="0" shapeId="0" xr:uid="{1A9D5FAA-1D82-4F6D-8F64-D061FB2142E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0" authorId="0" shapeId="0" xr:uid="{87FDE0C0-98C7-4BDD-8725-EF50953A643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B11" authorId="0" shapeId="0" xr:uid="{2674AD55-1C7A-44FA-8C50-F00840C848F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Iasonas et al. ChemSusChem 2019
</t>
        </r>
      </text>
    </comment>
    <comment ref="J11" authorId="0" shapeId="0" xr:uid="{CFD504A9-5A64-46DB-8772-E5A3C0D1CE6B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K11" authorId="0" shapeId="0" xr:uid="{4E7B55D9-A5B7-42A3-AD9F-3537F2C5123D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2023
</t>
        </r>
      </text>
    </comment>
    <comment ref="J15" authorId="0" shapeId="0" xr:uid="{AA14F842-0334-4D84-886D-0EB4CB183246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lesser than average.
</t>
        </r>
      </text>
    </comment>
    <comment ref="K15" authorId="0" shapeId="0" xr:uid="{767E2AA5-C9A9-430B-95F9-CB9155C475FA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  <comment ref="J16" authorId="0" shapeId="0" xr:uid="{3D703615-0B1A-4DE1-8F64-39BA3B199E18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Inflation 10 year average upto 2050. 15% more than average.</t>
        </r>
      </text>
    </comment>
    <comment ref="K16" authorId="0" shapeId="0" xr:uid="{D6D0B1D9-F40D-49B7-9551-4D0F5B723579}">
      <text>
        <r>
          <rPr>
            <b/>
            <sz val="9"/>
            <color indexed="81"/>
            <rFont val="Tahoma"/>
            <family val="2"/>
          </rPr>
          <t>Nabera  Abhinandan:</t>
        </r>
        <r>
          <rPr>
            <sz val="9"/>
            <color indexed="81"/>
            <rFont val="Tahoma"/>
            <family val="2"/>
          </rPr>
          <t xml:space="preserve">
Green Chem. Nabera et al. 2024</t>
        </r>
      </text>
    </comment>
  </commentList>
</comments>
</file>

<file path=xl/sharedStrings.xml><?xml version="1.0" encoding="utf-8"?>
<sst xmlns="http://schemas.openxmlformats.org/spreadsheetml/2006/main" count="225" uniqueCount="133">
  <si>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</si>
  <si>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</si>
  <si>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</si>
  <si>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</si>
  <si>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</si>
  <si>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</si>
  <si>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</si>
  <si>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</si>
  <si>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</si>
  <si>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</si>
  <si>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</si>
  <si>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</si>
  <si>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</si>
  <si>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</si>
  <si>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</si>
  <si>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</si>
  <si>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</si>
  <si>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</si>
  <si>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</si>
  <si>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</si>
  <si>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</si>
  <si>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</si>
  <si>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</si>
  <si>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</si>
  <si>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</si>
  <si>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</si>
  <si>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</si>
  <si>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</si>
  <si>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</si>
  <si>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</si>
  <si>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</si>
  <si>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</si>
  <si>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</si>
  <si>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</si>
  <si>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</si>
  <si>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</si>
  <si>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</si>
  <si>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</si>
  <si>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</si>
  <si>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</si>
  <si>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</si>
  <si>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</si>
  <si>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</si>
  <si>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</si>
  <si>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</si>
  <si>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</si>
  <si>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</si>
  <si>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</si>
  <si>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</si>
  <si>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</si>
  <si>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</si>
  <si>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</si>
  <si>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</si>
  <si>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</si>
  <si>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</si>
  <si>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</si>
  <si>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</si>
  <si>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</si>
  <si>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</si>
  <si>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</si>
  <si>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</si>
  <si>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</si>
  <si>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</si>
  <si>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</si>
  <si>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</si>
  <si>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</si>
  <si>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</si>
  <si>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</si>
  <si>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</si>
  <si>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</si>
  <si>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</si>
  <si>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</si>
  <si>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</si>
  <si>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</si>
  <si>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</si>
  <si>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</si>
  <si>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</si>
  <si>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</si>
  <si>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</si>
  <si>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</si>
  <si>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</si>
  <si>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</si>
  <si>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</si>
  <si>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</si>
  <si>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</si>
  <si>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</si>
  <si>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</si>
  <si>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</si>
  <si>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</si>
  <si>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</si>
  <si>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</si>
  <si>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</si>
  <si>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</si>
  <si>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</si>
  <si>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</si>
  <si>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</si>
  <si>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</si>
  <si>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</si>
  <si>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</si>
  <si>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</si>
  <si>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</si>
  <si>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</si>
  <si>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</si>
  <si>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</si>
  <si>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2022 ($/unit)</t>
  </si>
  <si>
    <t>OPEX (fossil ammonia)</t>
  </si>
  <si>
    <t>OPEX (wind ammonia)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</si>
  <si>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</si>
  <si>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</si>
  <si>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</si>
  <si>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</si>
  <si>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</si>
  <si>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</si>
  <si>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E-103</t>
  </si>
  <si>
    <t>E-105</t>
  </si>
  <si>
    <t>E-102</t>
  </si>
  <si>
    <t>E-104</t>
  </si>
  <si>
    <t>Ammonia price</t>
  </si>
  <si>
    <t>Fossil</t>
  </si>
  <si>
    <t>Wind</t>
  </si>
  <si>
    <t>Low</t>
  </si>
  <si>
    <t>High</t>
  </si>
  <si>
    <t>Refrigerant to -150 °C</t>
  </si>
  <si>
    <t>E-100</t>
  </si>
  <si>
    <t>E-101</t>
  </si>
  <si>
    <t>E-106</t>
  </si>
  <si>
    <t>B3</t>
  </si>
  <si>
    <t>B6</t>
  </si>
  <si>
    <t>Reactor</t>
  </si>
  <si>
    <t>B9</t>
  </si>
  <si>
    <t>B16</t>
  </si>
  <si>
    <t>B13</t>
  </si>
  <si>
    <t>B14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</si>
</sst>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2" fontId="0" fillId="0" borderId="0" xfId="0" applyNumberFormat="1" applyFo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zoomScale="115" zoomScaleNormal="115" workbookViewId="0">
      <selection activeCell="C26" sqref="C26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10.7109375" bestFit="1" customWidth="1"/>
    <col min="13" max="13" width="9.28515625" bestFit="1" customWidth="1"/>
    <col min="14" max="14" width="9" bestFit="1" customWidth="1"/>
    <col min="15" max="15" width="9.5703125" customWidth="1"/>
    <col min="16" max="16" width="7.28515625" bestFit="1" customWidth="1"/>
    <col min="17" max="17" width="10.85546875" bestFit="1" customWidth="1"/>
  </cols>
  <sheetData>
    <row r="1" spans="1:19" x14ac:dyDescent="0.25">
      <c r="A1" s="2" t="s">
        <v>0</v>
      </c>
      <c r="B1" s="3"/>
      <c r="C1" s="3"/>
    </row>
    <row r="2" spans="1:19" ht="18" x14ac:dyDescent="0.35">
      <c r="A2" s="3" t="s">
        <v>1</v>
      </c>
      <c r="B2" s="3" t="s">
        <v>38</v>
      </c>
      <c r="C2" s="3">
        <v>0.3</v>
      </c>
    </row>
    <row r="3" spans="1:19" ht="18" x14ac:dyDescent="0.35">
      <c r="A3" s="3" t="s">
        <v>2</v>
      </c>
      <c r="B3" s="3" t="s">
        <v>39</v>
      </c>
      <c r="C3" s="3">
        <v>0.8</v>
      </c>
    </row>
    <row r="4" spans="1:19" ht="18" x14ac:dyDescent="0.35">
      <c r="A4" s="3" t="s">
        <v>3</v>
      </c>
      <c r="B4" s="3" t="s">
        <v>40</v>
      </c>
      <c r="C4" s="3">
        <v>0.3</v>
      </c>
    </row>
    <row r="5" spans="1:19" ht="18" x14ac:dyDescent="0.35">
      <c r="A5" s="3" t="s">
        <v>4</v>
      </c>
      <c r="B5" s="3" t="s">
        <v>41</v>
      </c>
      <c r="C5" s="3">
        <v>0.2</v>
      </c>
    </row>
    <row r="6" spans="1:19" ht="18" x14ac:dyDescent="0.35">
      <c r="A6" s="3" t="s">
        <v>5</v>
      </c>
      <c r="B6" s="3" t="s">
        <v>42</v>
      </c>
      <c r="C6" s="3">
        <v>0.3</v>
      </c>
    </row>
    <row r="7" spans="1:19" ht="18" x14ac:dyDescent="0.35">
      <c r="A7" s="3" t="s">
        <v>6</v>
      </c>
      <c r="B7" s="3" t="s">
        <v>43</v>
      </c>
      <c r="C7" s="3">
        <v>0.2</v>
      </c>
    </row>
    <row r="8" spans="1:19" ht="18" x14ac:dyDescent="0.35">
      <c r="A8" s="3" t="s">
        <v>7</v>
      </c>
      <c r="B8" s="3" t="s">
        <v>44</v>
      </c>
      <c r="C8" s="3">
        <v>0.1</v>
      </c>
    </row>
    <row r="9" spans="1:19" ht="18" x14ac:dyDescent="0.35">
      <c r="A9" s="3" t="s">
        <v>8</v>
      </c>
      <c r="B9" s="3" t="s">
        <v>45</v>
      </c>
      <c r="C9" s="3">
        <v>1.3</v>
      </c>
    </row>
    <row r="10" spans="1:19" x14ac:dyDescent="0.25">
      <c r="A10" s="22"/>
      <c r="B10" s="22"/>
      <c r="C10" s="22"/>
    </row>
    <row r="12" spans="1:19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L12" s="2" t="s">
        <v>22</v>
      </c>
      <c r="M12" s="5" t="s">
        <v>20</v>
      </c>
      <c r="N12" s="5" t="s">
        <v>17</v>
      </c>
      <c r="O12" s="5" t="s">
        <v>21</v>
      </c>
      <c r="P12" s="5" t="s">
        <v>46</v>
      </c>
      <c r="Q12" s="5" t="s">
        <v>16</v>
      </c>
      <c r="R12" s="5" t="s">
        <v>47</v>
      </c>
      <c r="S12" s="5" t="s">
        <v>18</v>
      </c>
    </row>
    <row r="13" spans="1:19" x14ac:dyDescent="0.25">
      <c r="A13" s="51" t="s">
        <v>109</v>
      </c>
      <c r="B13" s="52"/>
      <c r="C13" s="52"/>
      <c r="D13" s="52"/>
      <c r="E13" s="52"/>
      <c r="F13" s="52"/>
      <c r="G13" s="52"/>
      <c r="H13" s="53"/>
      <c r="L13" s="33" t="s">
        <v>126</v>
      </c>
      <c r="M13" s="34">
        <v>1.6763999999999999</v>
      </c>
      <c r="N13" s="34">
        <f>4.7244+2*0.25*M13</f>
        <v>5.5625999999999998</v>
      </c>
      <c r="O13" s="37">
        <f t="shared" ref="O13" si="0">M13+0.0254</f>
        <v>1.7018</v>
      </c>
      <c r="P13" s="37">
        <f t="shared" ref="P13" si="1">PI()*(O13*O13-M13*M13)/4</f>
        <v>6.7392094719967474E-2</v>
      </c>
      <c r="Q13" s="37">
        <f t="shared" ref="Q13" si="2">P13*N13</f>
        <v>0.37487526608929106</v>
      </c>
      <c r="R13" s="35">
        <v>8000</v>
      </c>
      <c r="S13" s="34">
        <f t="shared" ref="S13" si="3">R13*Q13</f>
        <v>2999.0021287143286</v>
      </c>
    </row>
    <row r="14" spans="1:19" x14ac:dyDescent="0.25">
      <c r="A14" s="6" t="s">
        <v>112</v>
      </c>
      <c r="B14" s="6" t="s">
        <v>110</v>
      </c>
      <c r="C14" s="6" t="s">
        <v>111</v>
      </c>
      <c r="D14" s="9">
        <v>1611.1689699999999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2.2600207630156715</v>
      </c>
      <c r="L14" s="33" t="s">
        <v>127</v>
      </c>
      <c r="M14" s="34">
        <v>1.524</v>
      </c>
      <c r="N14" s="34">
        <f>3.6576+2*0.25*M14</f>
        <v>4.4196</v>
      </c>
      <c r="O14" s="37">
        <f t="shared" ref="O14" si="5">M14+0.0254</f>
        <v>1.5494000000000001</v>
      </c>
      <c r="P14" s="37">
        <f t="shared" ref="P14" si="6">PI()*(O14*O14-M14*M14)/4</f>
        <v>6.1311604970797184E-2</v>
      </c>
      <c r="Q14" s="37">
        <f t="shared" ref="Q14" si="7">P14*N14</f>
        <v>0.27097276932893521</v>
      </c>
      <c r="R14" s="35">
        <v>8000</v>
      </c>
      <c r="S14" s="34">
        <f t="shared" ref="S14" si="8">R14*Q14</f>
        <v>2167.7821546314817</v>
      </c>
    </row>
    <row r="15" spans="1:19" x14ac:dyDescent="0.25">
      <c r="A15" s="6" t="s">
        <v>112</v>
      </c>
      <c r="B15" s="6" t="s">
        <v>110</v>
      </c>
      <c r="C15" s="6" t="s">
        <v>111</v>
      </c>
      <c r="D15" s="9">
        <v>609.46196799999996</v>
      </c>
      <c r="E15" s="8">
        <v>580000</v>
      </c>
      <c r="F15" s="8">
        <v>20000</v>
      </c>
      <c r="G15" s="9">
        <v>0.6</v>
      </c>
      <c r="H15" s="9">
        <f t="shared" ref="H15:H19" si="9">(E15+(F15*(D15^G15)))/1000000</f>
        <v>1.5175576061588005</v>
      </c>
      <c r="L15" s="33" t="s">
        <v>128</v>
      </c>
      <c r="M15" s="34">
        <f>M13</f>
        <v>1.6763999999999999</v>
      </c>
      <c r="N15" s="34">
        <f>N13</f>
        <v>5.5625999999999998</v>
      </c>
      <c r="O15" s="37">
        <f t="shared" ref="O15:O19" si="10">M15+0.0254</f>
        <v>1.7018</v>
      </c>
      <c r="P15" s="37">
        <f t="shared" ref="P15:P19" si="11">PI()*(O15*O15-M15*M15)/4</f>
        <v>6.7392094719967474E-2</v>
      </c>
      <c r="Q15" s="37">
        <f t="shared" ref="Q15:Q19" si="12">P15*N15</f>
        <v>0.37487526608929106</v>
      </c>
      <c r="R15" s="35">
        <v>8000</v>
      </c>
      <c r="S15" s="34">
        <f t="shared" ref="S15:S19" si="13">R15*Q15</f>
        <v>2999.0021287143286</v>
      </c>
    </row>
    <row r="16" spans="1:19" x14ac:dyDescent="0.25">
      <c r="A16" s="6" t="s">
        <v>112</v>
      </c>
      <c r="B16" s="6" t="s">
        <v>110</v>
      </c>
      <c r="C16" s="6" t="s">
        <v>111</v>
      </c>
      <c r="D16" s="9">
        <v>312.07411500000001</v>
      </c>
      <c r="E16" s="8">
        <v>580000</v>
      </c>
      <c r="F16" s="8">
        <v>20000</v>
      </c>
      <c r="G16" s="9">
        <v>0.6</v>
      </c>
      <c r="H16" s="9">
        <f t="shared" si="9"/>
        <v>1.2074579759462913</v>
      </c>
      <c r="L16" s="33" t="s">
        <v>129</v>
      </c>
      <c r="M16" s="34">
        <v>0.91439999999999999</v>
      </c>
      <c r="N16" s="34">
        <f>3.6576+2*0.25*M16</f>
        <v>4.1147999999999998</v>
      </c>
      <c r="O16" s="37">
        <f t="shared" si="10"/>
        <v>0.93979999999999997</v>
      </c>
      <c r="P16" s="37">
        <f t="shared" si="11"/>
        <v>3.6989645974117337E-2</v>
      </c>
      <c r="Q16" s="37">
        <f t="shared" si="12"/>
        <v>0.15220499525429801</v>
      </c>
      <c r="R16" s="35">
        <v>8000</v>
      </c>
      <c r="S16" s="34">
        <f t="shared" si="13"/>
        <v>1217.6399620343841</v>
      </c>
    </row>
    <row r="17" spans="1:19" x14ac:dyDescent="0.25">
      <c r="A17" s="6" t="s">
        <v>112</v>
      </c>
      <c r="B17" s="6" t="s">
        <v>110</v>
      </c>
      <c r="C17" s="6" t="s">
        <v>111</v>
      </c>
      <c r="D17" s="9">
        <v>117.88417099999999</v>
      </c>
      <c r="E17" s="8">
        <v>580000</v>
      </c>
      <c r="F17" s="8">
        <v>20000</v>
      </c>
      <c r="G17" s="9">
        <v>0.6</v>
      </c>
      <c r="H17" s="9">
        <f t="shared" si="9"/>
        <v>0.92986725039969464</v>
      </c>
      <c r="L17" s="33" t="s">
        <v>130</v>
      </c>
      <c r="M17" s="34">
        <v>0.91439999999999999</v>
      </c>
      <c r="N17" s="34">
        <f>3.6576+2*0.25*M17</f>
        <v>4.1147999999999998</v>
      </c>
      <c r="O17" s="37">
        <f t="shared" si="10"/>
        <v>0.93979999999999997</v>
      </c>
      <c r="P17" s="37">
        <f t="shared" si="11"/>
        <v>3.6989645974117337E-2</v>
      </c>
      <c r="Q17" s="37">
        <f t="shared" si="12"/>
        <v>0.15220499525429801</v>
      </c>
      <c r="R17" s="35">
        <v>8000</v>
      </c>
      <c r="S17" s="34">
        <f t="shared" si="13"/>
        <v>1217.6399620343841</v>
      </c>
    </row>
    <row r="18" spans="1:19" x14ac:dyDescent="0.25">
      <c r="A18" s="6" t="s">
        <v>112</v>
      </c>
      <c r="B18" s="6" t="s">
        <v>110</v>
      </c>
      <c r="C18" s="6" t="s">
        <v>111</v>
      </c>
      <c r="D18" s="9">
        <v>243.73996500000001</v>
      </c>
      <c r="E18" s="8">
        <v>580000</v>
      </c>
      <c r="F18" s="8">
        <v>20000</v>
      </c>
      <c r="G18" s="9">
        <v>0.6</v>
      </c>
      <c r="H18" s="9">
        <f t="shared" si="9"/>
        <v>1.1209860199763815</v>
      </c>
      <c r="L18" s="33" t="s">
        <v>131</v>
      </c>
      <c r="M18" s="34">
        <v>0.91439999999999999</v>
      </c>
      <c r="N18" s="34">
        <f>3.6576+2*0.25*M18</f>
        <v>4.1147999999999998</v>
      </c>
      <c r="O18" s="37">
        <f t="shared" si="10"/>
        <v>0.93979999999999997</v>
      </c>
      <c r="P18" s="37">
        <f t="shared" si="11"/>
        <v>3.6989645974117337E-2</v>
      </c>
      <c r="Q18" s="37">
        <f t="shared" si="12"/>
        <v>0.15220499525429801</v>
      </c>
      <c r="R18" s="35">
        <v>8000</v>
      </c>
      <c r="S18" s="34">
        <f t="shared" si="13"/>
        <v>1217.6399620343841</v>
      </c>
    </row>
    <row r="19" spans="1:19" x14ac:dyDescent="0.25">
      <c r="A19" s="6" t="s">
        <v>112</v>
      </c>
      <c r="B19" s="6" t="s">
        <v>110</v>
      </c>
      <c r="C19" s="6" t="s">
        <v>111</v>
      </c>
      <c r="D19" s="9">
        <v>92.924514200000004</v>
      </c>
      <c r="E19" s="8">
        <v>580000</v>
      </c>
      <c r="F19" s="8">
        <v>20000</v>
      </c>
      <c r="G19" s="9">
        <v>0.6</v>
      </c>
      <c r="H19" s="9">
        <f t="shared" si="9"/>
        <v>0.88332497834098234</v>
      </c>
      <c r="L19" s="33" t="s">
        <v>132</v>
      </c>
      <c r="M19" s="34">
        <v>0.91439999999999999</v>
      </c>
      <c r="N19" s="34">
        <f>3.6576+2*0.25*M19</f>
        <v>4.1147999999999998</v>
      </c>
      <c r="O19" s="37">
        <f t="shared" si="10"/>
        <v>0.93979999999999997</v>
      </c>
      <c r="P19" s="37">
        <f t="shared" si="11"/>
        <v>3.6989645974117337E-2</v>
      </c>
      <c r="Q19" s="37">
        <f t="shared" si="12"/>
        <v>0.15220499525429801</v>
      </c>
      <c r="R19" s="35">
        <v>8000</v>
      </c>
      <c r="S19" s="34">
        <f t="shared" si="13"/>
        <v>1217.6399620343841</v>
      </c>
    </row>
    <row r="20" spans="1:19" x14ac:dyDescent="0.25">
      <c r="A20" s="51" t="s">
        <v>86</v>
      </c>
      <c r="B20" s="52"/>
      <c r="C20" s="52"/>
      <c r="D20" s="52"/>
      <c r="E20" s="52"/>
      <c r="F20" s="52"/>
      <c r="G20" s="52"/>
      <c r="H20" s="53"/>
    </row>
    <row r="21" spans="1:19" x14ac:dyDescent="0.25">
      <c r="A21" s="6" t="s">
        <v>123</v>
      </c>
      <c r="B21" s="6" t="s">
        <v>48</v>
      </c>
      <c r="C21" s="6" t="s">
        <v>49</v>
      </c>
      <c r="D21" s="21">
        <f>I21/J21</f>
        <v>183.70956218578851</v>
      </c>
      <c r="E21" s="8">
        <v>28000</v>
      </c>
      <c r="F21" s="8">
        <v>54</v>
      </c>
      <c r="G21" s="9">
        <v>1.2</v>
      </c>
      <c r="H21" s="9">
        <f>(E21+(F21*(D21^G21)))/1000000*J21</f>
        <v>0.11228360028259847</v>
      </c>
      <c r="I21">
        <v>367.41912437157703</v>
      </c>
      <c r="J21">
        <v>2</v>
      </c>
    </row>
    <row r="22" spans="1:19" x14ac:dyDescent="0.25">
      <c r="A22" s="6" t="s">
        <v>124</v>
      </c>
      <c r="B22" s="6" t="s">
        <v>48</v>
      </c>
      <c r="C22" s="6" t="s">
        <v>49</v>
      </c>
      <c r="D22" s="21">
        <f>I22/J22</f>
        <v>44.48807022153715</v>
      </c>
      <c r="E22" s="8">
        <v>28000</v>
      </c>
      <c r="F22" s="8">
        <v>54</v>
      </c>
      <c r="G22" s="9">
        <v>1.2</v>
      </c>
      <c r="H22" s="9">
        <f>(E22+(F22*(D22^G22)))/1000000*J22</f>
        <v>6.6263985659301416E-2</v>
      </c>
      <c r="I22">
        <v>88.9761404430743</v>
      </c>
      <c r="J22">
        <v>2</v>
      </c>
    </row>
    <row r="23" spans="1:19" x14ac:dyDescent="0.25">
      <c r="A23" s="6" t="s">
        <v>115</v>
      </c>
      <c r="B23" s="6" t="s">
        <v>48</v>
      </c>
      <c r="C23" s="6" t="s">
        <v>49</v>
      </c>
      <c r="D23" s="21">
        <f>I23/J23</f>
        <v>62.458796355626497</v>
      </c>
      <c r="E23" s="8">
        <v>28000</v>
      </c>
      <c r="F23" s="8">
        <v>54</v>
      </c>
      <c r="G23" s="9">
        <v>1.2</v>
      </c>
      <c r="H23" s="9">
        <f>(E23+(F23*(D23^G23)))/1000000*J23</f>
        <v>7.1421836280340101E-2</v>
      </c>
      <c r="I23">
        <v>124.91759271125299</v>
      </c>
      <c r="J23">
        <v>2</v>
      </c>
    </row>
    <row r="24" spans="1:19" x14ac:dyDescent="0.25">
      <c r="A24" s="6" t="s">
        <v>113</v>
      </c>
      <c r="B24" s="6" t="s">
        <v>48</v>
      </c>
      <c r="C24" s="6" t="s">
        <v>49</v>
      </c>
      <c r="D24" s="21">
        <f>I24/J24</f>
        <v>485.54930967986667</v>
      </c>
      <c r="E24" s="8">
        <v>28000</v>
      </c>
      <c r="F24" s="8">
        <v>54</v>
      </c>
      <c r="G24" s="9">
        <v>1.2</v>
      </c>
      <c r="H24" s="9">
        <f>(E24+(F24*(D24^G24)))/1000000*J24</f>
        <v>1.7750802890336279</v>
      </c>
      <c r="I24">
        <v>7283.2396451980003</v>
      </c>
      <c r="J24">
        <v>15</v>
      </c>
    </row>
    <row r="25" spans="1:19" x14ac:dyDescent="0.25">
      <c r="A25" s="6" t="s">
        <v>116</v>
      </c>
      <c r="B25" s="6" t="s">
        <v>48</v>
      </c>
      <c r="C25" s="6" t="s">
        <v>49</v>
      </c>
      <c r="D25" s="21">
        <f>I25/J25</f>
        <v>478.28448629938873</v>
      </c>
      <c r="E25" s="8">
        <v>28000</v>
      </c>
      <c r="F25" s="8">
        <v>54</v>
      </c>
      <c r="G25" s="9">
        <v>1.2</v>
      </c>
      <c r="H25" s="9">
        <f>(E25+(F25*(D25^G25)))/1000000*J25</f>
        <v>0.93375310303415571</v>
      </c>
      <c r="I25">
        <v>3826.2758903951099</v>
      </c>
      <c r="J25">
        <v>8</v>
      </c>
    </row>
    <row r="26" spans="1:19" x14ac:dyDescent="0.25">
      <c r="A26" s="6" t="s">
        <v>114</v>
      </c>
      <c r="B26" s="6" t="s">
        <v>48</v>
      </c>
      <c r="C26" s="6" t="s">
        <v>49</v>
      </c>
      <c r="D26" s="21">
        <f>I26/J26</f>
        <v>31.306769452090901</v>
      </c>
      <c r="E26" s="8">
        <v>28000</v>
      </c>
      <c r="F26" s="8">
        <v>54</v>
      </c>
      <c r="G26" s="9">
        <v>1.2</v>
      </c>
      <c r="H26" s="9">
        <f>(E26+(F26*(D26^G26)))/1000000*J26</f>
        <v>6.2732706173461023E-2</v>
      </c>
      <c r="I26">
        <v>62.613538904181802</v>
      </c>
      <c r="J26">
        <v>2</v>
      </c>
    </row>
    <row r="27" spans="1:19" x14ac:dyDescent="0.25">
      <c r="A27" s="6" t="s">
        <v>125</v>
      </c>
      <c r="B27" s="6" t="s">
        <v>48</v>
      </c>
      <c r="C27" s="6" t="s">
        <v>49</v>
      </c>
      <c r="D27" s="21">
        <f>I27/J27</f>
        <v>360.45839220755448</v>
      </c>
      <c r="E27" s="8">
        <v>28000</v>
      </c>
      <c r="F27" s="8">
        <v>54</v>
      </c>
      <c r="G27" s="9">
        <v>1.2</v>
      </c>
      <c r="H27" s="9">
        <f>(E27+(F27*(D27^G27)))/1000000*J27</f>
        <v>0.18237172826920112</v>
      </c>
      <c r="I27">
        <v>720.91678441510896</v>
      </c>
      <c r="J27">
        <v>2</v>
      </c>
    </row>
    <row r="28" spans="1:19" x14ac:dyDescent="0.25">
      <c r="A28" s="54" t="s">
        <v>50</v>
      </c>
      <c r="B28" s="55"/>
      <c r="C28" s="55"/>
      <c r="D28" s="55"/>
      <c r="E28" s="55"/>
      <c r="F28" s="55"/>
      <c r="G28" s="55"/>
      <c r="H28" s="56"/>
    </row>
    <row r="29" spans="1:19" x14ac:dyDescent="0.25">
      <c r="A29" s="7" t="s">
        <v>88</v>
      </c>
      <c r="B29" s="6" t="s">
        <v>87</v>
      </c>
      <c r="C29" s="6" t="s">
        <v>51</v>
      </c>
      <c r="D29" s="9">
        <f>S15</f>
        <v>2999.0021287143286</v>
      </c>
      <c r="E29" s="8">
        <v>17400</v>
      </c>
      <c r="F29" s="8">
        <v>79</v>
      </c>
      <c r="G29" s="9">
        <v>0.85</v>
      </c>
      <c r="H29" s="9">
        <f>(E29+(F29*(D29^G29)))/1000000</f>
        <v>8.8694716961128878E-2</v>
      </c>
    </row>
    <row r="30" spans="1:19" x14ac:dyDescent="0.25">
      <c r="A30" s="51" t="s">
        <v>89</v>
      </c>
      <c r="B30" s="52"/>
      <c r="C30" s="52"/>
      <c r="D30" s="52"/>
      <c r="E30" s="52"/>
      <c r="F30" s="52"/>
      <c r="G30" s="52"/>
      <c r="H30" s="53"/>
    </row>
    <row r="31" spans="1:19" x14ac:dyDescent="0.25">
      <c r="A31" s="6" t="s">
        <v>126</v>
      </c>
      <c r="B31" s="6" t="s">
        <v>87</v>
      </c>
      <c r="C31" s="6" t="s">
        <v>51</v>
      </c>
      <c r="D31" s="9">
        <f>S13</f>
        <v>2999.0021287143286</v>
      </c>
      <c r="E31" s="8">
        <v>17400</v>
      </c>
      <c r="F31" s="8">
        <v>79</v>
      </c>
      <c r="G31" s="9">
        <v>0.85</v>
      </c>
      <c r="H31" s="9">
        <f>(E31+(F31*(D31^G31)))/1000000</f>
        <v>8.8694716961128878E-2</v>
      </c>
    </row>
    <row r="32" spans="1:19" x14ac:dyDescent="0.25">
      <c r="A32" s="6" t="s">
        <v>127</v>
      </c>
      <c r="B32" s="6" t="s">
        <v>87</v>
      </c>
      <c r="C32" s="6" t="s">
        <v>51</v>
      </c>
      <c r="D32" s="9">
        <f>S14</f>
        <v>2167.7821546314817</v>
      </c>
      <c r="E32" s="8">
        <v>17400</v>
      </c>
      <c r="F32" s="8">
        <v>79</v>
      </c>
      <c r="G32" s="9">
        <v>0.85</v>
      </c>
      <c r="H32" s="9">
        <f t="shared" ref="H32" si="14">(E32+(F32*(D32^G32)))/1000000</f>
        <v>7.1505371404593496E-2</v>
      </c>
    </row>
    <row r="33" spans="1:14" x14ac:dyDescent="0.25">
      <c r="A33" s="6"/>
      <c r="B33" s="6" t="s">
        <v>87</v>
      </c>
      <c r="C33" s="6" t="s">
        <v>51</v>
      </c>
      <c r="D33" s="9">
        <f>S16</f>
        <v>1217.6399620343841</v>
      </c>
      <c r="E33" s="8">
        <v>17400</v>
      </c>
      <c r="F33" s="8">
        <v>79</v>
      </c>
      <c r="G33" s="9">
        <v>0.85</v>
      </c>
      <c r="H33" s="9">
        <f t="shared" ref="H33:H36" si="15">(E33+(F33*(D33^G33)))/1000000</f>
        <v>5.0537378641888009E-2</v>
      </c>
    </row>
    <row r="34" spans="1:14" x14ac:dyDescent="0.25">
      <c r="A34" s="6"/>
      <c r="B34" s="6" t="s">
        <v>87</v>
      </c>
      <c r="C34" s="6" t="s">
        <v>51</v>
      </c>
      <c r="D34" s="9">
        <f>S17</f>
        <v>1217.6399620343841</v>
      </c>
      <c r="E34" s="8">
        <v>17400</v>
      </c>
      <c r="F34" s="8">
        <v>79</v>
      </c>
      <c r="G34" s="9">
        <v>0.85</v>
      </c>
      <c r="H34" s="9">
        <f t="shared" si="15"/>
        <v>5.0537378641888009E-2</v>
      </c>
    </row>
    <row r="35" spans="1:14" x14ac:dyDescent="0.25">
      <c r="A35" s="6"/>
      <c r="B35" s="6" t="s">
        <v>87</v>
      </c>
      <c r="C35" s="6" t="s">
        <v>51</v>
      </c>
      <c r="D35" s="9">
        <f>S18</f>
        <v>1217.6399620343841</v>
      </c>
      <c r="E35" s="8">
        <v>17400</v>
      </c>
      <c r="F35" s="8">
        <v>79</v>
      </c>
      <c r="G35" s="9">
        <v>0.85</v>
      </c>
      <c r="H35" s="9">
        <f t="shared" si="15"/>
        <v>5.0537378641888009E-2</v>
      </c>
    </row>
    <row r="36" spans="1:14" x14ac:dyDescent="0.25">
      <c r="A36" s="6"/>
      <c r="B36" s="6" t="s">
        <v>87</v>
      </c>
      <c r="C36" s="6" t="s">
        <v>51</v>
      </c>
      <c r="D36" s="9">
        <f>S19</f>
        <v>1217.6399620343841</v>
      </c>
      <c r="E36" s="8">
        <v>17400</v>
      </c>
      <c r="F36" s="8">
        <v>79</v>
      </c>
      <c r="G36" s="9">
        <v>0.85</v>
      </c>
      <c r="H36" s="9">
        <f t="shared" si="15"/>
        <v>5.0537378641888009E-2</v>
      </c>
    </row>
    <row r="37" spans="1:14" x14ac:dyDescent="0.25">
      <c r="H37" s="38">
        <f>SUM(H14:H36)</f>
        <v>11.574166162464913</v>
      </c>
    </row>
    <row r="38" spans="1:14" x14ac:dyDescent="0.25">
      <c r="A38" s="24" t="s">
        <v>34</v>
      </c>
      <c r="B38" s="21">
        <v>532.9</v>
      </c>
    </row>
    <row r="39" spans="1:14" x14ac:dyDescent="0.25">
      <c r="A39" s="24" t="s">
        <v>35</v>
      </c>
      <c r="B39" s="21">
        <v>607.5</v>
      </c>
    </row>
    <row r="40" spans="1:14" x14ac:dyDescent="0.25">
      <c r="A40" s="24" t="s">
        <v>90</v>
      </c>
      <c r="B40" s="21">
        <v>816</v>
      </c>
    </row>
    <row r="41" spans="1:14" x14ac:dyDescent="0.25">
      <c r="A41" s="24" t="s">
        <v>52</v>
      </c>
      <c r="B41" s="21">
        <f>H37*B39/B38</f>
        <v>13.194419109959533</v>
      </c>
    </row>
    <row r="42" spans="1:14" x14ac:dyDescent="0.25">
      <c r="A42" s="24" t="s">
        <v>91</v>
      </c>
      <c r="B42" s="21">
        <f>H37*B40/B38</f>
        <v>17.722874063748112</v>
      </c>
    </row>
    <row r="43" spans="1:14" x14ac:dyDescent="0.25">
      <c r="A43" s="39"/>
      <c r="B43" s="32"/>
      <c r="N43" s="43"/>
    </row>
    <row r="44" spans="1:14" x14ac:dyDescent="0.25">
      <c r="B44" s="36">
        <v>2022</v>
      </c>
      <c r="C44" s="31"/>
      <c r="D44"/>
    </row>
    <row r="45" spans="1:14" x14ac:dyDescent="0.25">
      <c r="A45" s="26" t="s">
        <v>53</v>
      </c>
      <c r="B45" s="40">
        <f>(B42)*((1+C3)+(C2+C5+C4+C6+C7+C8)/C9)*C9</f>
        <v>66.283548998417942</v>
      </c>
      <c r="C45" s="31"/>
      <c r="D45"/>
    </row>
    <row r="46" spans="1:14" x14ac:dyDescent="0.25">
      <c r="A46" s="26" t="s">
        <v>54</v>
      </c>
      <c r="B46" s="40">
        <f>0.3*B45</f>
        <v>19.885064699525383</v>
      </c>
      <c r="C46" s="31"/>
      <c r="D46"/>
    </row>
    <row r="47" spans="1:14" x14ac:dyDescent="0.25">
      <c r="A47" s="26" t="s">
        <v>55</v>
      </c>
      <c r="B47" s="40">
        <f>0.3*SUM(B45:B46)</f>
        <v>25.850584109382996</v>
      </c>
      <c r="D47"/>
    </row>
    <row r="48" spans="1:14" x14ac:dyDescent="0.25">
      <c r="A48" s="26" t="s">
        <v>56</v>
      </c>
      <c r="B48" s="40">
        <f>0.1*SUM(B45:B46)</f>
        <v>8.6168613697943339</v>
      </c>
      <c r="D48"/>
    </row>
    <row r="49" spans="1:4" x14ac:dyDescent="0.25">
      <c r="A49" s="26" t="s">
        <v>57</v>
      </c>
      <c r="B49" s="40">
        <f>B45*(1+0.3)*(1+0.3+0.1)</f>
        <v>120.63605917712067</v>
      </c>
      <c r="D49"/>
    </row>
    <row r="50" spans="1:4" x14ac:dyDescent="0.25">
      <c r="A50" s="26" t="s">
        <v>60</v>
      </c>
      <c r="B50" s="40">
        <f>B49*0.15</f>
        <v>18.095408876568101</v>
      </c>
      <c r="D50"/>
    </row>
    <row r="51" spans="1:4" x14ac:dyDescent="0.25">
      <c r="A51" s="26" t="s">
        <v>58</v>
      </c>
      <c r="B51" s="40">
        <f>B49+B50</f>
        <v>138.73146805368879</v>
      </c>
      <c r="D51"/>
    </row>
    <row r="52" spans="1:4" x14ac:dyDescent="0.25">
      <c r="A52" s="26" t="s">
        <v>26</v>
      </c>
      <c r="B52" s="40">
        <v>25</v>
      </c>
      <c r="C52" s="31"/>
      <c r="D52"/>
    </row>
    <row r="53" spans="1:4" x14ac:dyDescent="0.25">
      <c r="A53" s="26" t="s">
        <v>27</v>
      </c>
      <c r="B53" s="40">
        <v>0.12</v>
      </c>
      <c r="C53" s="31"/>
      <c r="D53"/>
    </row>
    <row r="54" spans="1:4" x14ac:dyDescent="0.25">
      <c r="A54" s="26" t="s">
        <v>28</v>
      </c>
      <c r="B54" s="40">
        <f>(B53*((1+B53)^B52))/(((1+B53)^B52)-1)</f>
        <v>0.12749996980950773</v>
      </c>
      <c r="C54" s="31"/>
      <c r="D54"/>
    </row>
    <row r="55" spans="1:4" x14ac:dyDescent="0.25">
      <c r="A55" s="26" t="s">
        <v>59</v>
      </c>
      <c r="B55" s="40">
        <f>B54*B51</f>
        <v>17.688257988474007</v>
      </c>
      <c r="C55" s="31"/>
      <c r="D55"/>
    </row>
    <row r="56" spans="1:4" x14ac:dyDescent="0.25">
      <c r="A56" s="25" t="s">
        <v>36</v>
      </c>
      <c r="B56" s="19">
        <f>B55</f>
        <v>17.688257988474007</v>
      </c>
      <c r="C56" s="31"/>
      <c r="D56"/>
    </row>
    <row r="89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</sheetData>
  <mergeCells count="4">
    <mergeCell ref="A20:H20"/>
    <mergeCell ref="A28:H28"/>
    <mergeCell ref="A30:H30"/>
    <mergeCell ref="A13:H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20"/>
  <sheetViews>
    <sheetView zoomScale="115" zoomScaleNormal="115" workbookViewId="0">
      <selection activeCell="I14" sqref="I14"/>
    </sheetView>
  </sheetViews>
  <sheetFormatPr defaultRowHeight="15" x14ac:dyDescent="0.25"/>
  <cols>
    <col min="1" max="1" width="15.28515625" customWidth="1"/>
    <col min="2" max="2" width="30.42578125" bestFit="1" customWidth="1"/>
    <col min="3" max="3" width="8.5703125" bestFit="1" customWidth="1"/>
  </cols>
  <sheetData>
    <row r="3" spans="1:3" x14ac:dyDescent="0.25">
      <c r="A3" s="57">
        <v>2022</v>
      </c>
      <c r="B3" s="57"/>
      <c r="C3" s="57"/>
    </row>
    <row r="4" spans="1:3" x14ac:dyDescent="0.25">
      <c r="A4" s="36" t="s">
        <v>63</v>
      </c>
      <c r="B4" s="36" t="s">
        <v>64</v>
      </c>
      <c r="C4" s="13" t="s">
        <v>37</v>
      </c>
    </row>
    <row r="5" spans="1:3" x14ac:dyDescent="0.25">
      <c r="A5" s="57" t="s">
        <v>79</v>
      </c>
      <c r="B5" s="57"/>
      <c r="C5" s="57"/>
    </row>
    <row r="6" spans="1:3" x14ac:dyDescent="0.25">
      <c r="A6" s="10" t="s">
        <v>71</v>
      </c>
      <c r="B6" s="10" t="s">
        <v>82</v>
      </c>
      <c r="C6" s="10">
        <f>50000*9*9/1000000</f>
        <v>4.05</v>
      </c>
    </row>
    <row r="7" spans="1:3" x14ac:dyDescent="0.25">
      <c r="A7" s="10" t="s">
        <v>61</v>
      </c>
      <c r="B7" s="10" t="s">
        <v>62</v>
      </c>
      <c r="C7" s="21">
        <f>0.25*C6</f>
        <v>1.0125</v>
      </c>
    </row>
    <row r="8" spans="1:3" x14ac:dyDescent="0.25">
      <c r="A8" s="10" t="s">
        <v>65</v>
      </c>
      <c r="B8" s="10" t="s">
        <v>66</v>
      </c>
      <c r="C8" s="21">
        <f>0.45*(C6+C7)</f>
        <v>2.2781250000000002</v>
      </c>
    </row>
    <row r="9" spans="1:3" x14ac:dyDescent="0.25">
      <c r="A9" s="51"/>
      <c r="B9" s="53"/>
      <c r="C9" s="17">
        <f>SUM(C6:C8)</f>
        <v>7.3406250000000002</v>
      </c>
    </row>
    <row r="10" spans="1:3" x14ac:dyDescent="0.25">
      <c r="A10" s="57" t="s">
        <v>80</v>
      </c>
      <c r="B10" s="57"/>
      <c r="C10" s="57"/>
    </row>
    <row r="11" spans="1:3" x14ac:dyDescent="0.25">
      <c r="A11" s="10" t="s">
        <v>67</v>
      </c>
      <c r="B11" s="10" t="s">
        <v>68</v>
      </c>
      <c r="C11" s="23">
        <f>0.03*CAPEX!B45</f>
        <v>1.9885064699525381</v>
      </c>
    </row>
    <row r="12" spans="1:3" x14ac:dyDescent="0.25">
      <c r="A12" s="57"/>
      <c r="B12" s="57"/>
      <c r="C12" s="29">
        <f>C11</f>
        <v>1.9885064699525381</v>
      </c>
    </row>
    <row r="13" spans="1:3" x14ac:dyDescent="0.25">
      <c r="A13" s="51" t="s">
        <v>69</v>
      </c>
      <c r="B13" s="52"/>
      <c r="C13" s="53"/>
    </row>
    <row r="14" spans="1:3" x14ac:dyDescent="0.25">
      <c r="A14" s="10" t="s">
        <v>70</v>
      </c>
      <c r="B14" s="10" t="s">
        <v>72</v>
      </c>
      <c r="C14" s="21">
        <f>0.65*(C6+C7+C8+C11)</f>
        <v>6.0639354554691494</v>
      </c>
    </row>
    <row r="15" spans="1:3" x14ac:dyDescent="0.25">
      <c r="A15" s="10" t="s">
        <v>73</v>
      </c>
      <c r="B15" s="10" t="s">
        <v>75</v>
      </c>
      <c r="C15" s="21">
        <f>0.02*(CAPEX!B45+CAPEX!B46)</f>
        <v>1.7233722739588666</v>
      </c>
    </row>
    <row r="16" spans="1:3" x14ac:dyDescent="0.25">
      <c r="A16" s="57"/>
      <c r="B16" s="57"/>
      <c r="C16" s="29">
        <f>SUM(C14:C15)</f>
        <v>7.787307729428016</v>
      </c>
    </row>
    <row r="17" spans="1:3" x14ac:dyDescent="0.25">
      <c r="A17" s="51" t="s">
        <v>76</v>
      </c>
      <c r="B17" s="52"/>
      <c r="C17" s="53"/>
    </row>
    <row r="18" spans="1:3" x14ac:dyDescent="0.25">
      <c r="A18" s="10" t="s">
        <v>77</v>
      </c>
      <c r="B18" s="10" t="s">
        <v>78</v>
      </c>
      <c r="C18" s="23">
        <f>0.06*CAPEX!B50</f>
        <v>1.0857245325940861</v>
      </c>
    </row>
    <row r="19" spans="1:3" x14ac:dyDescent="0.25">
      <c r="A19" s="57"/>
      <c r="B19" s="57"/>
      <c r="C19" s="17">
        <f>C18</f>
        <v>1.0857245325940861</v>
      </c>
    </row>
    <row r="20" spans="1:3" x14ac:dyDescent="0.25">
      <c r="A20" s="51" t="s">
        <v>81</v>
      </c>
      <c r="B20" s="53"/>
      <c r="C20" s="17">
        <f>C9+C12+C16+C19</f>
        <v>18.20216373197464</v>
      </c>
    </row>
  </sheetData>
  <mergeCells count="10">
    <mergeCell ref="A3:C3"/>
    <mergeCell ref="A5:C5"/>
    <mergeCell ref="A9:B9"/>
    <mergeCell ref="A10:C10"/>
    <mergeCell ref="A20:B20"/>
    <mergeCell ref="A12:B12"/>
    <mergeCell ref="A13:C13"/>
    <mergeCell ref="A16:B16"/>
    <mergeCell ref="A17:C17"/>
    <mergeCell ref="A19:B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8"/>
  <sheetViews>
    <sheetView zoomScale="115" zoomScaleNormal="115" workbookViewId="0">
      <selection activeCell="C34" sqref="C34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5" width="17.7109375" style="11" bestFit="1" customWidth="1"/>
    <col min="6" max="6" width="10.5703125" style="11" bestFit="1" customWidth="1"/>
    <col min="7" max="8" width="9.28515625" style="11" customWidth="1"/>
    <col min="9" max="9" width="14.5703125" style="11" bestFit="1" customWidth="1"/>
    <col min="10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104</v>
      </c>
      <c r="F3" s="13" t="s">
        <v>100</v>
      </c>
      <c r="I3" s="50" t="s">
        <v>117</v>
      </c>
      <c r="J3" s="46">
        <v>2022</v>
      </c>
      <c r="K3" s="46">
        <v>2050</v>
      </c>
    </row>
    <row r="4" spans="2:11" x14ac:dyDescent="0.25">
      <c r="B4" s="48" t="s">
        <v>101</v>
      </c>
      <c r="C4" s="49"/>
      <c r="D4" s="49"/>
      <c r="E4" s="49"/>
      <c r="F4" s="49"/>
      <c r="G4" s="1"/>
      <c r="H4" s="1"/>
      <c r="I4" s="50" t="s">
        <v>118</v>
      </c>
      <c r="J4" s="42">
        <v>728.17</v>
      </c>
      <c r="K4" s="42">
        <f>J4*596.2/550.8*596.2/550.8*596.2/550.8</f>
        <v>923.47874215069317</v>
      </c>
    </row>
    <row r="5" spans="2:11" x14ac:dyDescent="0.25">
      <c r="B5" s="12" t="s">
        <v>98</v>
      </c>
      <c r="C5" s="12" t="s">
        <v>31</v>
      </c>
      <c r="D5" s="23">
        <v>0</v>
      </c>
      <c r="E5" s="42">
        <v>0</v>
      </c>
      <c r="F5" s="42">
        <f>D5*E5</f>
        <v>0</v>
      </c>
      <c r="I5" s="50" t="s">
        <v>119</v>
      </c>
      <c r="J5" s="42">
        <v>1366.03</v>
      </c>
      <c r="K5" s="42">
        <v>925.28</v>
      </c>
    </row>
    <row r="6" spans="2:11" x14ac:dyDescent="0.25">
      <c r="B6" s="12" t="s">
        <v>99</v>
      </c>
      <c r="C6" s="12" t="s">
        <v>31</v>
      </c>
      <c r="D6" s="27">
        <v>33.887004851064198</v>
      </c>
      <c r="E6" s="42">
        <v>728.17</v>
      </c>
      <c r="F6" s="42">
        <f>D6*E6</f>
        <v>24675.500322399417</v>
      </c>
      <c r="J6" s="47"/>
      <c r="K6" s="47"/>
    </row>
    <row r="7" spans="2:11" x14ac:dyDescent="0.25">
      <c r="B7" s="41" t="s">
        <v>102</v>
      </c>
      <c r="C7" s="12" t="s">
        <v>31</v>
      </c>
      <c r="D7" s="27">
        <v>33.887004851064198</v>
      </c>
      <c r="E7" s="42">
        <v>1366.03</v>
      </c>
      <c r="F7" s="42">
        <f>D7*E7</f>
        <v>46290.665236699228</v>
      </c>
    </row>
    <row r="8" spans="2:11" x14ac:dyDescent="0.25">
      <c r="B8" s="48" t="s">
        <v>103</v>
      </c>
      <c r="C8" s="49"/>
      <c r="D8" s="49"/>
      <c r="E8" s="49"/>
      <c r="F8" s="49"/>
      <c r="I8" s="57">
        <v>2022</v>
      </c>
      <c r="J8" s="57"/>
      <c r="K8" s="57"/>
    </row>
    <row r="9" spans="2:11" x14ac:dyDescent="0.25">
      <c r="B9" s="14" t="s">
        <v>24</v>
      </c>
      <c r="C9" s="14" t="s">
        <v>32</v>
      </c>
      <c r="D9" s="9">
        <v>190.23635608336599</v>
      </c>
      <c r="E9" s="42">
        <f>0.38*C18/C17</f>
        <v>0.51041975308641974</v>
      </c>
      <c r="F9" s="42">
        <f>D9*E9</f>
        <v>97.100393900131891</v>
      </c>
      <c r="I9" s="50" t="s">
        <v>117</v>
      </c>
      <c r="J9" s="46" t="s">
        <v>118</v>
      </c>
      <c r="K9" s="46" t="s">
        <v>119</v>
      </c>
    </row>
    <row r="10" spans="2:11" x14ac:dyDescent="0.25">
      <c r="B10" s="14" t="s">
        <v>122</v>
      </c>
      <c r="C10" s="14" t="s">
        <v>32</v>
      </c>
      <c r="D10" s="9">
        <v>0</v>
      </c>
      <c r="E10" s="42">
        <v>194.11453744493392</v>
      </c>
      <c r="F10" s="42">
        <v>0</v>
      </c>
      <c r="I10" s="50" t="s">
        <v>120</v>
      </c>
      <c r="J10" s="42">
        <v>668.49</v>
      </c>
      <c r="K10" s="42">
        <v>1361.05</v>
      </c>
    </row>
    <row r="11" spans="2:11" x14ac:dyDescent="0.25">
      <c r="B11" s="14" t="s">
        <v>25</v>
      </c>
      <c r="C11" s="14" t="s">
        <v>33</v>
      </c>
      <c r="D11" s="9">
        <v>2987.2537032</v>
      </c>
      <c r="E11" s="40">
        <f>69.6/1000*C18/C17</f>
        <v>9.3487407407407408E-2</v>
      </c>
      <c r="F11" s="42">
        <f>D11*E11</f>
        <v>279.2706039803449</v>
      </c>
      <c r="I11" s="50" t="s">
        <v>121</v>
      </c>
      <c r="J11" s="42">
        <v>789.66</v>
      </c>
      <c r="K11" s="42">
        <v>1370.63</v>
      </c>
    </row>
    <row r="12" spans="2:11" x14ac:dyDescent="0.25">
      <c r="B12" s="4" t="s">
        <v>105</v>
      </c>
      <c r="C12" s="18" t="s">
        <v>37</v>
      </c>
      <c r="D12" s="16"/>
      <c r="E12" s="19"/>
      <c r="F12" s="19">
        <f>(F5+F6+F9+F10+F11)/1000000*8000</f>
        <v>200.41497056223915</v>
      </c>
    </row>
    <row r="13" spans="2:11" x14ac:dyDescent="0.25">
      <c r="B13" s="36" t="s">
        <v>106</v>
      </c>
      <c r="C13" s="18" t="s">
        <v>37</v>
      </c>
      <c r="D13" s="16"/>
      <c r="E13" s="19"/>
      <c r="F13" s="19">
        <f>(F5+F7+F9+F10+F11)/1000000*8000</f>
        <v>373.33628987663764</v>
      </c>
      <c r="G13" s="15"/>
      <c r="H13" s="15"/>
      <c r="I13" s="57">
        <v>2050</v>
      </c>
      <c r="J13" s="57"/>
      <c r="K13" s="57"/>
    </row>
    <row r="14" spans="2:11" x14ac:dyDescent="0.25">
      <c r="B14" s="15"/>
      <c r="C14" s="15"/>
      <c r="D14" s="15"/>
      <c r="E14" s="15"/>
      <c r="F14" s="15"/>
      <c r="I14" s="50" t="s">
        <v>117</v>
      </c>
      <c r="J14" s="46" t="s">
        <v>118</v>
      </c>
      <c r="K14" s="46" t="s">
        <v>119</v>
      </c>
    </row>
    <row r="15" spans="2:11" x14ac:dyDescent="0.25">
      <c r="B15" s="28" t="s">
        <v>84</v>
      </c>
      <c r="C15" s="15"/>
      <c r="D15" s="15"/>
      <c r="E15" s="15"/>
      <c r="F15" s="15"/>
      <c r="I15" s="50" t="s">
        <v>120</v>
      </c>
      <c r="J15" s="42">
        <f>K4*0.85</f>
        <v>784.95693082808918</v>
      </c>
      <c r="K15" s="42">
        <v>658.84</v>
      </c>
    </row>
    <row r="16" spans="2:11" x14ac:dyDescent="0.25">
      <c r="B16" s="14" t="s">
        <v>83</v>
      </c>
      <c r="C16" s="23">
        <v>603.1</v>
      </c>
      <c r="E16" s="47"/>
      <c r="I16" s="50" t="s">
        <v>121</v>
      </c>
      <c r="J16" s="42">
        <f>K4*1.15</f>
        <v>1062.000553473297</v>
      </c>
      <c r="K16" s="42">
        <v>1191.73</v>
      </c>
    </row>
    <row r="17" spans="2:5" x14ac:dyDescent="0.25">
      <c r="B17" s="14" t="s">
        <v>35</v>
      </c>
      <c r="C17" s="21">
        <v>607.5</v>
      </c>
    </row>
    <row r="18" spans="2:5" x14ac:dyDescent="0.25">
      <c r="B18" s="24" t="s">
        <v>90</v>
      </c>
      <c r="C18" s="21">
        <v>816</v>
      </c>
      <c r="E18" s="47"/>
    </row>
  </sheetData>
  <mergeCells count="2">
    <mergeCell ref="I8:K8"/>
    <mergeCell ref="I13:K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31"/>
  <sheetViews>
    <sheetView tabSelected="1" zoomScaleNormal="100" workbookViewId="0">
      <selection activeCell="F30" sqref="F30"/>
    </sheetView>
  </sheetViews>
  <sheetFormatPr defaultRowHeight="15" x14ac:dyDescent="0.25"/>
  <cols>
    <col min="2" max="2" width="36.5703125" bestFit="1" customWidth="1"/>
    <col min="3" max="3" width="12.5703125" bestFit="1" customWidth="1"/>
    <col min="6" max="6" width="36.5703125" bestFit="1" customWidth="1"/>
    <col min="7" max="7" width="12.5703125" bestFit="1" customWidth="1"/>
  </cols>
  <sheetData>
    <row r="2" spans="2:7" x14ac:dyDescent="0.25">
      <c r="B2" s="57" t="s">
        <v>97</v>
      </c>
      <c r="C2" s="57"/>
      <c r="F2" s="57" t="s">
        <v>107</v>
      </c>
      <c r="G2" s="57"/>
    </row>
    <row r="3" spans="2:7" x14ac:dyDescent="0.25">
      <c r="B3" s="10" t="s">
        <v>92</v>
      </c>
      <c r="C3" s="21">
        <f>CAPEX!B42</f>
        <v>17.722874063748112</v>
      </c>
      <c r="F3" s="10" t="s">
        <v>92</v>
      </c>
      <c r="G3" s="21">
        <f t="shared" ref="G3:G17" si="0">C3</f>
        <v>17.722874063748112</v>
      </c>
    </row>
    <row r="4" spans="2:7" x14ac:dyDescent="0.25">
      <c r="B4" s="26" t="s">
        <v>53</v>
      </c>
      <c r="C4" s="21">
        <f>CAPEX!B45</f>
        <v>66.283548998417942</v>
      </c>
      <c r="F4" s="26" t="s">
        <v>53</v>
      </c>
      <c r="G4" s="21">
        <f t="shared" si="0"/>
        <v>66.283548998417942</v>
      </c>
    </row>
    <row r="5" spans="2:7" x14ac:dyDescent="0.25">
      <c r="B5" s="26" t="s">
        <v>54</v>
      </c>
      <c r="C5" s="21">
        <f>CAPEX!B46</f>
        <v>19.885064699525383</v>
      </c>
      <c r="F5" s="26" t="s">
        <v>54</v>
      </c>
      <c r="G5" s="21">
        <f t="shared" si="0"/>
        <v>19.885064699525383</v>
      </c>
    </row>
    <row r="6" spans="2:7" x14ac:dyDescent="0.25">
      <c r="B6" s="26" t="s">
        <v>74</v>
      </c>
      <c r="C6" s="21">
        <f>CAPEX!B47</f>
        <v>25.850584109382996</v>
      </c>
      <c r="F6" s="26" t="s">
        <v>74</v>
      </c>
      <c r="G6" s="21">
        <f t="shared" si="0"/>
        <v>25.850584109382996</v>
      </c>
    </row>
    <row r="7" spans="2:7" x14ac:dyDescent="0.25">
      <c r="B7" s="26" t="s">
        <v>56</v>
      </c>
      <c r="C7" s="21">
        <f>CAPEX!B48</f>
        <v>8.6168613697943339</v>
      </c>
      <c r="F7" s="26" t="s">
        <v>56</v>
      </c>
      <c r="G7" s="21">
        <f t="shared" si="0"/>
        <v>8.6168613697943339</v>
      </c>
    </row>
    <row r="8" spans="2:7" x14ac:dyDescent="0.25">
      <c r="B8" s="26" t="s">
        <v>57</v>
      </c>
      <c r="C8" s="21">
        <f>CAPEX!B49</f>
        <v>120.63605917712067</v>
      </c>
      <c r="F8" s="26" t="s">
        <v>57</v>
      </c>
      <c r="G8" s="21">
        <f t="shared" si="0"/>
        <v>120.63605917712067</v>
      </c>
    </row>
    <row r="9" spans="2:7" x14ac:dyDescent="0.25">
      <c r="B9" s="26" t="s">
        <v>60</v>
      </c>
      <c r="C9" s="21">
        <f>CAPEX!B50</f>
        <v>18.095408876568101</v>
      </c>
      <c r="F9" s="26" t="s">
        <v>60</v>
      </c>
      <c r="G9" s="21">
        <f t="shared" si="0"/>
        <v>18.095408876568101</v>
      </c>
    </row>
    <row r="10" spans="2:7" x14ac:dyDescent="0.25">
      <c r="B10" s="10" t="s">
        <v>58</v>
      </c>
      <c r="C10" s="21">
        <f>CAPEX!B51</f>
        <v>138.73146805368879</v>
      </c>
      <c r="F10" s="10" t="s">
        <v>58</v>
      </c>
      <c r="G10" s="21">
        <f t="shared" si="0"/>
        <v>138.73146805368879</v>
      </c>
    </row>
    <row r="11" spans="2:7" x14ac:dyDescent="0.25">
      <c r="B11" s="10" t="s">
        <v>79</v>
      </c>
      <c r="C11" s="21">
        <f>SUM('Production costs'!B9)</f>
        <v>0</v>
      </c>
      <c r="F11" s="10" t="s">
        <v>79</v>
      </c>
      <c r="G11" s="21">
        <f t="shared" si="0"/>
        <v>0</v>
      </c>
    </row>
    <row r="12" spans="2:7" x14ac:dyDescent="0.25">
      <c r="B12" s="10" t="s">
        <v>80</v>
      </c>
      <c r="C12" s="21">
        <f>SUM('Production costs'!B12)</f>
        <v>0</v>
      </c>
      <c r="F12" s="10" t="s">
        <v>80</v>
      </c>
      <c r="G12" s="21">
        <f t="shared" si="0"/>
        <v>0</v>
      </c>
    </row>
    <row r="13" spans="2:7" x14ac:dyDescent="0.25">
      <c r="B13" s="10" t="s">
        <v>69</v>
      </c>
      <c r="C13" s="21">
        <f>SUM('Production costs'!B16)</f>
        <v>0</v>
      </c>
      <c r="F13" s="10" t="s">
        <v>69</v>
      </c>
      <c r="G13" s="21">
        <f t="shared" si="0"/>
        <v>0</v>
      </c>
    </row>
    <row r="14" spans="2:7" x14ac:dyDescent="0.25">
      <c r="B14" s="10" t="s">
        <v>76</v>
      </c>
      <c r="C14" s="21">
        <f>SUM('Production costs'!B19)</f>
        <v>0</v>
      </c>
      <c r="F14" s="10" t="s">
        <v>76</v>
      </c>
      <c r="G14" s="21">
        <f t="shared" si="0"/>
        <v>0</v>
      </c>
    </row>
    <row r="15" spans="2:7" x14ac:dyDescent="0.25">
      <c r="B15" s="10" t="s">
        <v>26</v>
      </c>
      <c r="C15" s="21">
        <v>25</v>
      </c>
      <c r="F15" s="10" t="s">
        <v>26</v>
      </c>
      <c r="G15" s="21">
        <f t="shared" si="0"/>
        <v>25</v>
      </c>
    </row>
    <row r="16" spans="2:7" x14ac:dyDescent="0.25">
      <c r="B16" s="10" t="s">
        <v>27</v>
      </c>
      <c r="C16" s="21">
        <v>0.12</v>
      </c>
      <c r="F16" s="10" t="s">
        <v>27</v>
      </c>
      <c r="G16" s="21">
        <f t="shared" si="0"/>
        <v>0.12</v>
      </c>
    </row>
    <row r="17" spans="2:7" x14ac:dyDescent="0.25">
      <c r="B17" s="10" t="s">
        <v>28</v>
      </c>
      <c r="C17" s="20">
        <v>0.12749996980950773</v>
      </c>
      <c r="F17" s="10" t="s">
        <v>28</v>
      </c>
      <c r="G17" s="20">
        <f t="shared" si="0"/>
        <v>0.12749996980950773</v>
      </c>
    </row>
    <row r="18" spans="2:7" x14ac:dyDescent="0.25">
      <c r="B18" s="13" t="s">
        <v>36</v>
      </c>
      <c r="C18" s="17">
        <f>CAPEX!B56</f>
        <v>17.688257988474007</v>
      </c>
      <c r="F18" s="13" t="s">
        <v>36</v>
      </c>
      <c r="G18" s="17">
        <f>C18</f>
        <v>17.688257988474007</v>
      </c>
    </row>
    <row r="19" spans="2:7" x14ac:dyDescent="0.25">
      <c r="B19" s="13" t="s">
        <v>96</v>
      </c>
      <c r="C19" s="17">
        <v>0</v>
      </c>
      <c r="F19" s="13" t="s">
        <v>96</v>
      </c>
      <c r="G19" s="17">
        <v>0</v>
      </c>
    </row>
    <row r="20" spans="2:7" x14ac:dyDescent="0.25">
      <c r="B20" s="13" t="s">
        <v>85</v>
      </c>
      <c r="C20" s="17">
        <f>OPEX!F12</f>
        <v>200.41497056223915</v>
      </c>
      <c r="F20" s="13" t="s">
        <v>85</v>
      </c>
      <c r="G20" s="17">
        <f>OPEX!F13</f>
        <v>373.33628987663764</v>
      </c>
    </row>
    <row r="21" spans="2:7" x14ac:dyDescent="0.25">
      <c r="B21" s="13" t="s">
        <v>95</v>
      </c>
      <c r="C21" s="17">
        <f>(C18+C19+C20)</f>
        <v>218.10322855071314</v>
      </c>
      <c r="F21" s="13" t="s">
        <v>95</v>
      </c>
      <c r="G21" s="17">
        <f>(G18+G19+G20)</f>
        <v>391.02454786511163</v>
      </c>
    </row>
    <row r="22" spans="2:7" x14ac:dyDescent="0.25">
      <c r="B22" s="13" t="s">
        <v>94</v>
      </c>
      <c r="C22" s="17">
        <f>(C21)*1000000/8000</f>
        <v>27262.903568839145</v>
      </c>
      <c r="F22" s="13" t="s">
        <v>94</v>
      </c>
      <c r="G22" s="17">
        <f>(G21)*1000000/8000</f>
        <v>48878.068483138959</v>
      </c>
    </row>
    <row r="23" spans="2:7" x14ac:dyDescent="0.25">
      <c r="B23" s="28" t="s">
        <v>93</v>
      </c>
      <c r="C23" s="17">
        <v>37499.999990757802</v>
      </c>
      <c r="F23" s="28" t="s">
        <v>93</v>
      </c>
      <c r="G23" s="17">
        <v>37499.999990757802</v>
      </c>
    </row>
    <row r="24" spans="2:7" x14ac:dyDescent="0.25">
      <c r="B24" s="30" t="s">
        <v>108</v>
      </c>
      <c r="C24" s="44">
        <f>C22/C23</f>
        <v>0.72701076201488857</v>
      </c>
      <c r="F24" s="30" t="s">
        <v>108</v>
      </c>
      <c r="G24" s="44">
        <f>G22/G23</f>
        <v>1.3034151598716102</v>
      </c>
    </row>
    <row r="28" spans="2:7" x14ac:dyDescent="0.25">
      <c r="C28" s="45"/>
    </row>
    <row r="29" spans="2:7" x14ac:dyDescent="0.25">
      <c r="C29" s="45"/>
    </row>
    <row r="30" spans="2:7" x14ac:dyDescent="0.25">
      <c r="C30" s="45"/>
    </row>
    <row r="31" spans="2:7" x14ac:dyDescent="0.25">
      <c r="C31" s="45"/>
    </row>
  </sheetData>
  <mergeCells count="2">
    <mergeCell ref="B2:C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2025-05-23T11:42:13Z</dcterms:modified>
</cp:coreProperties>
</file>