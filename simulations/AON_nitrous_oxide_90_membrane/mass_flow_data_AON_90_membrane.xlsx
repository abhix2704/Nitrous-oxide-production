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nitrous_oxide_90_membrane\"/>
    </mc:Choice>
  </mc:AlternateContent>
  <xr:revisionPtr revIDLastSave="0" documentId="13_ncr:1_{B831E05C-3B74-44DA-ADEC-2FB2EA1CEED5}" xr6:coauthVersionLast="36" xr6:coauthVersionMax="36" xr10:uidLastSave="{00000000-0000-0000-0000-000000000000}"/>
  <bookViews>
    <workbookView xWindow="0" yWindow="0" windowWidth="19200" windowHeight="6585" xr2:uid="{00000000-000D-0000-FFFF-FFFF00000000}"/>
  </bookViews>
  <sheets>
    <sheet name="Material streams" sheetId="1" r:id="rId1"/>
    <sheet name="Electricity" sheetId="2" r:id="rId2"/>
    <sheet name="Utilitie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D5" i="2"/>
  <c r="D6" i="2"/>
  <c r="D7" i="2"/>
  <c r="E12" i="1"/>
  <c r="E2" i="3" l="1"/>
  <c r="E11" i="1" l="1"/>
  <c r="E10" i="1"/>
  <c r="D3" i="2" l="1"/>
  <c r="C9" i="2" l="1"/>
  <c r="E9" i="1" l="1"/>
  <c r="E8" i="1" l="1"/>
  <c r="D8" i="2" l="1"/>
  <c r="E7" i="1"/>
  <c r="F7" i="1" s="1"/>
  <c r="D9" i="2" l="1"/>
  <c r="E6" i="1"/>
  <c r="E5" i="1"/>
  <c r="E4" i="1"/>
  <c r="E13" i="1"/>
  <c r="E7" i="3" l="1"/>
  <c r="C2" i="3" s="1"/>
  <c r="D2" i="3" s="1"/>
</calcChain>
</file>

<file path=xl/sharedStrings.xml><?xml version="1.0" encoding="utf-8"?>
<sst xmlns="http://schemas.openxmlformats.org/spreadsheetml/2006/main" count="66" uniqueCount="40">
  <si>
    <t>Component</t>
  </si>
  <si>
    <t>Type</t>
  </si>
  <si>
    <t>Mass flow (kg/hr)</t>
  </si>
  <si>
    <t>Water</t>
  </si>
  <si>
    <t>Ammonia</t>
  </si>
  <si>
    <t>kWh</t>
  </si>
  <si>
    <t>Block</t>
  </si>
  <si>
    <t>Compressor</t>
  </si>
  <si>
    <t>K-100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</si>
  <si>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</si>
  <si>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</si>
  <si>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</si>
  <si>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</si>
  <si>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</si>
  <si>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</si>
  <si>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</si>
  <si>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 xml:space="preserve"> </t>
  </si>
  <si>
    <t>Cooling water</t>
  </si>
  <si>
    <r>
      <t>Final product: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</si>
  <si>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Mass/kg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</si>
  <si>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</si>
  <si>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NH</t>
    </r>
    <r>
      <rPr>
        <vertAlign val="subscript"/>
        <sz val="11"/>
        <color theme="1"/>
        <rFont val="Calibri"/>
        <family val="2"/>
        <scheme val="minor"/>
      </rPr>
      <t>3</t>
    </r>
  </si>
  <si>
    <t>Nitrous oxide</t>
  </si>
  <si>
    <t>Feed</t>
  </si>
  <si>
    <t>Emissions</t>
  </si>
  <si>
    <t>Product</t>
  </si>
  <si>
    <t>Stream name</t>
  </si>
  <si>
    <t>Data used for calculating the mass flow rate taken from Aspen energy analyzer</t>
  </si>
  <si>
    <t>Flow rate (kg/h)</t>
  </si>
  <si>
    <r>
      <t>kWh/kg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</si>
  <si>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r>
      <t>Flow/kg N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O</t>
    </r>
  </si>
  <si>
    <t>Purge gas</t>
  </si>
  <si>
    <t>Nitrogen monoxide</t>
  </si>
  <si>
    <t>K-101</t>
  </si>
  <si>
    <t>Nitrogen</t>
  </si>
  <si>
    <t>Oxygen</t>
  </si>
  <si>
    <t>K-102</t>
  </si>
  <si>
    <t>K-103</t>
  </si>
  <si>
    <t>K-104</t>
  </si>
  <si>
    <t>K-105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</si>
</sst>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  <xf numFmtId="0" fontId="5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115" zoomScaleNormal="115" workbookViewId="0">
      <selection activeCell="J7" sqref="J7"/>
    </sheetView>
  </sheetViews>
  <sheetFormatPr defaultColWidth="9" defaultRowHeight="15" x14ac:dyDescent="0.25"/>
  <cols>
    <col min="1" max="1" width="16.42578125" style="1" bestFit="1" customWidth="1"/>
    <col min="2" max="2" width="18.5703125" style="1" bestFit="1" customWidth="1"/>
    <col min="3" max="3" width="11.140625" style="1" bestFit="1" customWidth="1"/>
    <col min="4" max="4" width="16" style="1" bestFit="1" customWidth="1"/>
    <col min="5" max="5" width="12" style="1" bestFit="1" customWidth="1"/>
    <col min="6" max="16384" width="9" style="1"/>
  </cols>
  <sheetData>
    <row r="1" spans="1:8" ht="18" x14ac:dyDescent="0.35">
      <c r="A1" s="2" t="s">
        <v>18</v>
      </c>
    </row>
    <row r="2" spans="1:8" x14ac:dyDescent="0.25">
      <c r="A2" s="2"/>
    </row>
    <row r="3" spans="1:8" ht="18" x14ac:dyDescent="0.35">
      <c r="A3" s="6" t="s">
        <v>26</v>
      </c>
      <c r="B3" s="6" t="s">
        <v>0</v>
      </c>
      <c r="C3" s="6" t="s">
        <v>1</v>
      </c>
      <c r="D3" s="6" t="s">
        <v>2</v>
      </c>
      <c r="E3" s="6" t="s">
        <v>19</v>
      </c>
    </row>
    <row r="4" spans="1:8" ht="18" customHeight="1" x14ac:dyDescent="0.25">
      <c r="A4" s="3" t="s">
        <v>35</v>
      </c>
      <c r="B4" s="3" t="s">
        <v>35</v>
      </c>
      <c r="C4" s="3" t="s">
        <v>23</v>
      </c>
      <c r="D4" s="4">
        <v>63670.4542204268</v>
      </c>
      <c r="E4" s="5">
        <f t="shared" ref="E4:E13" si="0">D4/$D$13</f>
        <v>1.6978787796298382</v>
      </c>
    </row>
    <row r="5" spans="1:8" ht="18" x14ac:dyDescent="0.35">
      <c r="A5" s="3" t="s">
        <v>21</v>
      </c>
      <c r="B5" s="3" t="s">
        <v>4</v>
      </c>
      <c r="C5" s="3" t="s">
        <v>23</v>
      </c>
      <c r="D5" s="4">
        <v>33887.004851064201</v>
      </c>
      <c r="E5" s="5">
        <f t="shared" si="0"/>
        <v>0.9036534629177585</v>
      </c>
    </row>
    <row r="6" spans="1:8" x14ac:dyDescent="0.25">
      <c r="A6" s="3" t="s">
        <v>3</v>
      </c>
      <c r="B6" s="3" t="s">
        <v>3</v>
      </c>
      <c r="C6" s="3" t="s">
        <v>23</v>
      </c>
      <c r="D6" s="4">
        <v>0</v>
      </c>
      <c r="E6" s="5">
        <f t="shared" si="0"/>
        <v>0</v>
      </c>
    </row>
    <row r="7" spans="1:8" x14ac:dyDescent="0.25">
      <c r="A7" s="3" t="s">
        <v>3</v>
      </c>
      <c r="B7" s="3" t="s">
        <v>3</v>
      </c>
      <c r="C7" s="3" t="s">
        <v>24</v>
      </c>
      <c r="D7" s="4">
        <v>55760.945615855198</v>
      </c>
      <c r="E7" s="5">
        <f t="shared" si="0"/>
        <v>1.4869585501226124</v>
      </c>
      <c r="F7" s="17">
        <f>E7/1000</f>
        <v>1.4869585501226124E-3</v>
      </c>
    </row>
    <row r="8" spans="1:8" x14ac:dyDescent="0.25">
      <c r="A8" s="3" t="s">
        <v>31</v>
      </c>
      <c r="B8" s="3" t="s">
        <v>34</v>
      </c>
      <c r="C8" s="3" t="s">
        <v>24</v>
      </c>
      <c r="D8" s="4">
        <v>2736.6848795986298</v>
      </c>
      <c r="E8" s="5">
        <f t="shared" si="0"/>
        <v>7.2978263473949576E-2</v>
      </c>
    </row>
    <row r="9" spans="1:8" x14ac:dyDescent="0.25">
      <c r="A9" s="3" t="s">
        <v>31</v>
      </c>
      <c r="B9" s="3" t="s">
        <v>32</v>
      </c>
      <c r="C9" s="3" t="s">
        <v>24</v>
      </c>
      <c r="D9" s="19">
        <v>0</v>
      </c>
      <c r="E9" s="5">
        <f t="shared" si="0"/>
        <v>0</v>
      </c>
      <c r="H9" s="16"/>
    </row>
    <row r="10" spans="1:8" x14ac:dyDescent="0.25">
      <c r="A10" s="3" t="s">
        <v>31</v>
      </c>
      <c r="B10" s="3" t="s">
        <v>22</v>
      </c>
      <c r="C10" s="3" t="s">
        <v>24</v>
      </c>
      <c r="D10" s="19">
        <v>4.6681488495987704</v>
      </c>
      <c r="E10" s="5">
        <f t="shared" si="0"/>
        <v>1.2448396935331403E-4</v>
      </c>
      <c r="H10" s="16"/>
    </row>
    <row r="11" spans="1:8" x14ac:dyDescent="0.25">
      <c r="A11" s="3" t="s">
        <v>31</v>
      </c>
      <c r="B11" s="3" t="s">
        <v>35</v>
      </c>
      <c r="C11" s="3" t="s">
        <v>24</v>
      </c>
      <c r="D11" s="19">
        <v>1538.3309320688099</v>
      </c>
      <c r="E11" s="5">
        <f t="shared" si="0"/>
        <v>4.1022158198611859E-2</v>
      </c>
      <c r="H11" s="16"/>
    </row>
    <row r="12" spans="1:8" x14ac:dyDescent="0.25">
      <c r="A12" s="3" t="s">
        <v>31</v>
      </c>
      <c r="B12" s="3" t="s">
        <v>3</v>
      </c>
      <c r="C12" s="3" t="s">
        <v>24</v>
      </c>
      <c r="D12" s="19">
        <v>16.829504361205899</v>
      </c>
      <c r="E12" s="5">
        <f t="shared" ref="E12" si="1">D12/$D$13</f>
        <v>4.4878678307609801E-4</v>
      </c>
      <c r="H12" s="16"/>
    </row>
    <row r="13" spans="1:8" ht="18" x14ac:dyDescent="0.35">
      <c r="A13" s="3" t="s">
        <v>20</v>
      </c>
      <c r="B13" s="3" t="s">
        <v>22</v>
      </c>
      <c r="C13" s="3" t="s">
        <v>25</v>
      </c>
      <c r="D13" s="4">
        <v>37499.999990757802</v>
      </c>
      <c r="E13" s="5">
        <f t="shared" si="0"/>
        <v>1</v>
      </c>
      <c r="H13" s="16"/>
    </row>
    <row r="14" spans="1:8" x14ac:dyDescent="0.25">
      <c r="H14" s="16"/>
    </row>
    <row r="15" spans="1:8" x14ac:dyDescent="0.25">
      <c r="H15" s="16"/>
    </row>
    <row r="16" spans="1:8" x14ac:dyDescent="0.25">
      <c r="H16" s="16"/>
    </row>
    <row r="17" spans="8:8" x14ac:dyDescent="0.25">
      <c r="H17" s="16"/>
    </row>
    <row r="18" spans="8:8" x14ac:dyDescent="0.25">
      <c r="H18" s="16"/>
    </row>
    <row r="19" spans="8:8" x14ac:dyDescent="0.25">
      <c r="H19" s="16"/>
    </row>
    <row r="20" spans="8:8" x14ac:dyDescent="0.25">
      <c r="H20" s="16"/>
    </row>
    <row r="21" spans="8:8" x14ac:dyDescent="0.25">
      <c r="H21" s="16"/>
    </row>
    <row r="22" spans="8:8" x14ac:dyDescent="0.25">
      <c r="H22" s="16"/>
    </row>
    <row r="23" spans="8:8" x14ac:dyDescent="0.25">
      <c r="H23" s="16"/>
    </row>
    <row r="24" spans="8:8" x14ac:dyDescent="0.25">
      <c r="H24" s="16"/>
    </row>
    <row r="25" spans="8:8" x14ac:dyDescent="0.25">
      <c r="H25" s="16"/>
    </row>
    <row r="26" spans="8:8" x14ac:dyDescent="0.25">
      <c r="H26" s="16"/>
    </row>
    <row r="27" spans="8:8" x14ac:dyDescent="0.25">
      <c r="H27" s="16"/>
    </row>
    <row r="28" spans="8:8" x14ac:dyDescent="0.25">
      <c r="H28" s="16"/>
    </row>
    <row r="29" spans="8:8" x14ac:dyDescent="0.25">
      <c r="H29" s="16"/>
    </row>
    <row r="30" spans="8:8" x14ac:dyDescent="0.25">
      <c r="H30" s="16"/>
    </row>
    <row r="31" spans="8:8" x14ac:dyDescent="0.25">
      <c r="H31" s="16"/>
    </row>
    <row r="32" spans="8:8" x14ac:dyDescent="0.25">
      <c r="H32" s="16"/>
    </row>
    <row r="33" spans="8:8" x14ac:dyDescent="0.25">
      <c r="H33" s="16"/>
    </row>
    <row r="34" spans="8:8" x14ac:dyDescent="0.25">
      <c r="H34" s="16"/>
    </row>
    <row r="35" spans="8:8" x14ac:dyDescent="0.25">
      <c r="H35" s="16"/>
    </row>
    <row r="36" spans="8:8" x14ac:dyDescent="0.25">
      <c r="H36" s="16"/>
    </row>
    <row r="37" spans="8:8" x14ac:dyDescent="0.25">
      <c r="H37" s="16"/>
    </row>
    <row r="38" spans="8:8" x14ac:dyDescent="0.25">
      <c r="H38" s="16"/>
    </row>
    <row r="39" spans="8:8" x14ac:dyDescent="0.25">
      <c r="H39" s="16"/>
    </row>
    <row r="40" spans="8:8" x14ac:dyDescent="0.25">
      <c r="H40" s="16"/>
    </row>
    <row r="41" spans="8:8" x14ac:dyDescent="0.25">
      <c r="H41" s="16"/>
    </row>
    <row r="42" spans="8:8" x14ac:dyDescent="0.25">
      <c r="H42" s="16"/>
    </row>
    <row r="43" spans="8:8" x14ac:dyDescent="0.25">
      <c r="H43" s="16"/>
    </row>
    <row r="44" spans="8:8" x14ac:dyDescent="0.25">
      <c r="H44" s="16"/>
    </row>
    <row r="45" spans="8:8" x14ac:dyDescent="0.25">
      <c r="H45" s="16"/>
    </row>
    <row r="46" spans="8:8" x14ac:dyDescent="0.25">
      <c r="H46" s="16"/>
    </row>
    <row r="47" spans="8:8" x14ac:dyDescent="0.25">
      <c r="H47" s="16"/>
    </row>
    <row r="48" spans="8:8" x14ac:dyDescent="0.25">
      <c r="H48" s="16"/>
    </row>
    <row r="49" spans="8:8" x14ac:dyDescent="0.25">
      <c r="H49" s="16"/>
    </row>
    <row r="50" spans="8:8" x14ac:dyDescent="0.25">
      <c r="H50" s="16"/>
    </row>
    <row r="51" spans="8:8" x14ac:dyDescent="0.25">
      <c r="H51" s="16"/>
    </row>
    <row r="52" spans="8:8" x14ac:dyDescent="0.25">
      <c r="H52" s="16"/>
    </row>
    <row r="53" spans="8:8" x14ac:dyDescent="0.25">
      <c r="H53" s="16"/>
    </row>
    <row r="54" spans="8:8" x14ac:dyDescent="0.25">
      <c r="H54" s="16"/>
    </row>
    <row r="55" spans="8:8" x14ac:dyDescent="0.25">
      <c r="H55" s="16"/>
    </row>
    <row r="56" spans="8:8" x14ac:dyDescent="0.25">
      <c r="H56" s="16"/>
    </row>
    <row r="57" spans="8:8" x14ac:dyDescent="0.25">
      <c r="H57" s="16"/>
    </row>
    <row r="58" spans="8:8" x14ac:dyDescent="0.25">
      <c r="H58" s="16"/>
    </row>
    <row r="59" spans="8:8" x14ac:dyDescent="0.25">
      <c r="H59" s="16"/>
    </row>
    <row r="60" spans="8:8" x14ac:dyDescent="0.25">
      <c r="H60" s="16"/>
    </row>
    <row r="61" spans="8:8" x14ac:dyDescent="0.25">
      <c r="H61" s="16"/>
    </row>
    <row r="62" spans="8:8" x14ac:dyDescent="0.25">
      <c r="H62" s="16"/>
    </row>
    <row r="63" spans="8:8" x14ac:dyDescent="0.25">
      <c r="H63" s="16"/>
    </row>
    <row r="64" spans="8:8" x14ac:dyDescent="0.25">
      <c r="H64" s="16"/>
    </row>
    <row r="65" spans="8:8" x14ac:dyDescent="0.25">
      <c r="H65" s="16"/>
    </row>
    <row r="66" spans="8:8" x14ac:dyDescent="0.25">
      <c r="H66" s="16"/>
    </row>
    <row r="67" spans="8:8" x14ac:dyDescent="0.25">
      <c r="H67" s="16"/>
    </row>
    <row r="68" spans="8:8" x14ac:dyDescent="0.25">
      <c r="H68" s="16"/>
    </row>
    <row r="69" spans="8:8" x14ac:dyDescent="0.25">
      <c r="H69" s="16"/>
    </row>
    <row r="70" spans="8:8" x14ac:dyDescent="0.25">
      <c r="H70" s="16"/>
    </row>
    <row r="71" spans="8:8" x14ac:dyDescent="0.25">
      <c r="H71" s="16"/>
    </row>
    <row r="72" spans="8:8" x14ac:dyDescent="0.25">
      <c r="H72" s="16"/>
    </row>
    <row r="73" spans="8:8" x14ac:dyDescent="0.25">
      <c r="H73" s="16"/>
    </row>
    <row r="74" spans="8:8" x14ac:dyDescent="0.25">
      <c r="H74" s="16"/>
    </row>
    <row r="75" spans="8:8" x14ac:dyDescent="0.25">
      <c r="H75" s="16"/>
    </row>
    <row r="76" spans="8:8" x14ac:dyDescent="0.25">
      <c r="H76" s="16"/>
    </row>
    <row r="77" spans="8:8" x14ac:dyDescent="0.25">
      <c r="H77" s="16"/>
    </row>
    <row r="78" spans="8:8" x14ac:dyDescent="0.25">
      <c r="H78" s="16"/>
    </row>
    <row r="79" spans="8:8" x14ac:dyDescent="0.25">
      <c r="H79" s="16"/>
    </row>
    <row r="80" spans="8:8" x14ac:dyDescent="0.25">
      <c r="H80" s="16"/>
    </row>
    <row r="81" spans="8:8" x14ac:dyDescent="0.25">
      <c r="H81" s="16"/>
    </row>
    <row r="82" spans="8:8" x14ac:dyDescent="0.25">
      <c r="H82" s="16"/>
    </row>
    <row r="83" spans="8:8" x14ac:dyDescent="0.25">
      <c r="H83" s="16"/>
    </row>
    <row r="84" spans="8:8" x14ac:dyDescent="0.25">
      <c r="H84" s="16"/>
    </row>
    <row r="85" spans="8:8" x14ac:dyDescent="0.25">
      <c r="H85" s="16"/>
    </row>
    <row r="86" spans="8:8" x14ac:dyDescent="0.25">
      <c r="H86" s="16"/>
    </row>
    <row r="87" spans="8:8" x14ac:dyDescent="0.25">
      <c r="H87" s="16"/>
    </row>
    <row r="88" spans="8:8" x14ac:dyDescent="0.25">
      <c r="H88" s="16"/>
    </row>
    <row r="89" spans="8:8" x14ac:dyDescent="0.25">
      <c r="H89" s="16"/>
    </row>
    <row r="90" spans="8:8" x14ac:dyDescent="0.25">
      <c r="H90" s="16"/>
    </row>
    <row r="91" spans="8:8" x14ac:dyDescent="0.25">
      <c r="H91" s="16"/>
    </row>
    <row r="92" spans="8:8" x14ac:dyDescent="0.25">
      <c r="H92" s="16"/>
    </row>
    <row r="93" spans="8:8" x14ac:dyDescent="0.25">
      <c r="H93" s="16"/>
    </row>
    <row r="94" spans="8:8" x14ac:dyDescent="0.25">
      <c r="H94" s="16"/>
    </row>
    <row r="95" spans="8:8" x14ac:dyDescent="0.25">
      <c r="H95" s="16"/>
    </row>
    <row r="96" spans="8:8" x14ac:dyDescent="0.25">
      <c r="H96" s="16"/>
    </row>
    <row r="97" spans="8:8" x14ac:dyDescent="0.25">
      <c r="H97" s="16"/>
    </row>
    <row r="98" spans="8:8" x14ac:dyDescent="0.25">
      <c r="H98" s="16"/>
    </row>
    <row r="99" spans="8:8" x14ac:dyDescent="0.25">
      <c r="H99" s="16"/>
    </row>
    <row r="100" spans="8:8" x14ac:dyDescent="0.25">
      <c r="H100" s="16"/>
    </row>
    <row r="101" spans="8:8" x14ac:dyDescent="0.25">
      <c r="H101" s="16"/>
    </row>
    <row r="102" spans="8:8" x14ac:dyDescent="0.25">
      <c r="H102" s="16"/>
    </row>
    <row r="103" spans="8:8" x14ac:dyDescent="0.25">
      <c r="H103" s="16"/>
    </row>
    <row r="104" spans="8:8" x14ac:dyDescent="0.25">
      <c r="H104" s="1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9"/>
  <sheetViews>
    <sheetView zoomScale="160" zoomScaleNormal="160" workbookViewId="0">
      <selection activeCell="D9" sqref="D9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1.42578125" style="1" bestFit="1" customWidth="1"/>
    <col min="6" max="6" width="10.140625" bestFit="1" customWidth="1"/>
    <col min="7" max="7" width="11.140625" bestFit="1" customWidth="1"/>
  </cols>
  <sheetData>
    <row r="2" spans="1:6" ht="18" x14ac:dyDescent="0.35">
      <c r="A2" s="6" t="s">
        <v>6</v>
      </c>
      <c r="B2" s="6" t="s">
        <v>1</v>
      </c>
      <c r="C2" s="6" t="s">
        <v>5</v>
      </c>
      <c r="D2" s="6" t="s">
        <v>29</v>
      </c>
    </row>
    <row r="3" spans="1:6" x14ac:dyDescent="0.25">
      <c r="A3" s="3" t="s">
        <v>8</v>
      </c>
      <c r="B3" s="3" t="s">
        <v>7</v>
      </c>
      <c r="C3" s="4">
        <v>1611.1689699999999</v>
      </c>
      <c r="D3" s="5">
        <f>C3/'Material streams'!$D$13</f>
        <v>4.2964505877255636E-2</v>
      </c>
      <c r="E3" s="14"/>
      <c r="F3" s="14"/>
    </row>
    <row r="4" spans="1:6" x14ac:dyDescent="0.25">
      <c r="A4" s="3" t="s">
        <v>33</v>
      </c>
      <c r="B4" s="3" t="s">
        <v>7</v>
      </c>
      <c r="C4" s="4">
        <v>609.46196799999996</v>
      </c>
      <c r="D4" s="5">
        <f>C4/'Material streams'!$D$13</f>
        <v>1.6252319150672191E-2</v>
      </c>
      <c r="E4" s="14"/>
      <c r="F4" s="14"/>
    </row>
    <row r="5" spans="1:6" x14ac:dyDescent="0.25">
      <c r="A5" s="3" t="s">
        <v>36</v>
      </c>
      <c r="B5" s="3" t="s">
        <v>7</v>
      </c>
      <c r="C5" s="4">
        <v>312.07411500000001</v>
      </c>
      <c r="D5" s="5">
        <f>C5/'Material streams'!$D$13</f>
        <v>8.3219764020510227E-3</v>
      </c>
      <c r="E5" s="14"/>
      <c r="F5" s="14"/>
    </row>
    <row r="6" spans="1:6" x14ac:dyDescent="0.25">
      <c r="A6" s="3" t="s">
        <v>37</v>
      </c>
      <c r="B6" s="3" t="s">
        <v>7</v>
      </c>
      <c r="C6" s="4">
        <v>117.88417099999999</v>
      </c>
      <c r="D6" s="5">
        <f>C6/'Material streams'!$D$13</f>
        <v>3.1435778941080951E-3</v>
      </c>
      <c r="E6" s="14"/>
      <c r="F6" s="14"/>
    </row>
    <row r="7" spans="1:6" x14ac:dyDescent="0.25">
      <c r="A7" s="3" t="s">
        <v>38</v>
      </c>
      <c r="B7" s="3" t="s">
        <v>7</v>
      </c>
      <c r="C7" s="4">
        <v>243.73996500000001</v>
      </c>
      <c r="D7" s="5">
        <f>C7/'Material streams'!$D$13</f>
        <v>6.4997324016019152E-3</v>
      </c>
      <c r="E7" s="14"/>
      <c r="F7" s="14"/>
    </row>
    <row r="8" spans="1:6" x14ac:dyDescent="0.25">
      <c r="A8" s="3" t="s">
        <v>39</v>
      </c>
      <c r="B8" s="3" t="s">
        <v>7</v>
      </c>
      <c r="C8" s="4">
        <v>92.924514200000004</v>
      </c>
      <c r="D8" s="5">
        <f>C8/'Material streams'!$D$13</f>
        <v>2.4779870459440546E-3</v>
      </c>
      <c r="E8" s="14"/>
      <c r="F8" s="14"/>
    </row>
    <row r="9" spans="1:6" ht="14.25" customHeight="1" x14ac:dyDescent="0.25">
      <c r="A9" s="3"/>
      <c r="B9" s="11" t="s">
        <v>9</v>
      </c>
      <c r="C9" s="12">
        <f>SUM(C3:C8)</f>
        <v>2987.2537032</v>
      </c>
      <c r="D9" s="15">
        <f>SUM(D3:D8)</f>
        <v>7.9660098771632923E-2</v>
      </c>
      <c r="E9" s="13"/>
      <c r="F9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="145" zoomScaleNormal="145" workbookViewId="0">
      <selection activeCell="E2" sqref="E2"/>
    </sheetView>
  </sheetViews>
  <sheetFormatPr defaultRowHeight="15" x14ac:dyDescent="0.25"/>
  <cols>
    <col min="1" max="1" width="26" customWidth="1"/>
    <col min="2" max="2" width="19.85546875" bestFit="1" customWidth="1"/>
    <col min="3" max="3" width="21.28515625" bestFit="1" customWidth="1"/>
    <col min="4" max="4" width="19.140625" bestFit="1" customWidth="1"/>
    <col min="5" max="5" width="7.85546875" bestFit="1" customWidth="1"/>
    <col min="6" max="6" width="4.7109375" bestFit="1" customWidth="1"/>
    <col min="7" max="7" width="5.28515625" bestFit="1" customWidth="1"/>
    <col min="8" max="8" width="12.140625" bestFit="1" customWidth="1"/>
    <col min="11" max="11" width="13" bestFit="1" customWidth="1"/>
  </cols>
  <sheetData>
    <row r="1" spans="1:5" ht="18" x14ac:dyDescent="0.35">
      <c r="A1" s="6" t="s">
        <v>10</v>
      </c>
      <c r="B1" s="6" t="s">
        <v>11</v>
      </c>
      <c r="C1" s="6" t="s">
        <v>28</v>
      </c>
      <c r="D1" s="8" t="s">
        <v>30</v>
      </c>
    </row>
    <row r="2" spans="1:5" x14ac:dyDescent="0.25">
      <c r="A2" s="3" t="s">
        <v>17</v>
      </c>
      <c r="B2" s="4">
        <v>190236356.08336601</v>
      </c>
      <c r="C2" s="4">
        <f>B2/B7/E7</f>
        <v>9095689.9872515425</v>
      </c>
      <c r="D2" s="4">
        <f>C2/'Material streams'!$D$13</f>
        <v>242.55173305315344</v>
      </c>
      <c r="E2" s="18">
        <f>B2/1000/'Material streams'!$D$13</f>
        <v>5.0729694968067038</v>
      </c>
    </row>
    <row r="5" spans="1:5" x14ac:dyDescent="0.25">
      <c r="A5" s="7" t="s">
        <v>27</v>
      </c>
    </row>
    <row r="6" spans="1:5" ht="18" x14ac:dyDescent="0.35">
      <c r="A6" s="6" t="s">
        <v>10</v>
      </c>
      <c r="B6" s="6" t="s">
        <v>12</v>
      </c>
      <c r="C6" s="9" t="s">
        <v>14</v>
      </c>
      <c r="D6" s="9" t="s">
        <v>15</v>
      </c>
      <c r="E6" s="9" t="s">
        <v>13</v>
      </c>
    </row>
    <row r="7" spans="1:5" x14ac:dyDescent="0.25">
      <c r="A7" s="3" t="s">
        <v>17</v>
      </c>
      <c r="B7" s="20">
        <v>4.1829999999999998</v>
      </c>
      <c r="C7" s="3">
        <v>15</v>
      </c>
      <c r="D7" s="3">
        <v>20</v>
      </c>
      <c r="E7" s="3">
        <f>D7-C7</f>
        <v>5</v>
      </c>
    </row>
    <row r="9" spans="1:5" x14ac:dyDescent="0.25">
      <c r="E9" s="10"/>
    </row>
    <row r="10" spans="1:5" x14ac:dyDescent="0.25">
      <c r="A10" t="s">
        <v>16</v>
      </c>
      <c r="E10" s="10"/>
    </row>
    <row r="11" spans="1:5" x14ac:dyDescent="0.25">
      <c r="E11" s="10"/>
    </row>
    <row r="12" spans="1:5" x14ac:dyDescent="0.25">
      <c r="D12" s="10"/>
      <c r="E12" s="10"/>
    </row>
    <row r="13" spans="1:5" x14ac:dyDescent="0.25">
      <c r="E13" s="10"/>
    </row>
    <row r="14" spans="1:5" x14ac:dyDescent="0.25">
      <c r="D14" s="10"/>
      <c r="E14" s="10"/>
    </row>
    <row r="15" spans="1:5" x14ac:dyDescent="0.25">
      <c r="E15" s="10"/>
    </row>
    <row r="16" spans="1:5" x14ac:dyDescent="0.25">
      <c r="E16" s="10"/>
    </row>
    <row r="17" spans="4:5" x14ac:dyDescent="0.25">
      <c r="E17" s="10"/>
    </row>
    <row r="18" spans="4:5" x14ac:dyDescent="0.25">
      <c r="E18" s="10"/>
    </row>
    <row r="19" spans="4:5" x14ac:dyDescent="0.25">
      <c r="D19" s="10"/>
      <c r="E19" s="1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 streams</vt:lpstr>
      <vt:lpstr>Electricity</vt:lpstr>
      <vt:lpstr>Utilities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2025-05-25T14:39:53Z</dcterms:modified>
</cp:coreProperties>
</file>