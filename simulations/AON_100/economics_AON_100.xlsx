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nabera\Desktop\Side projects\Nitrous oxide production\simulations\AON_100\"/>
    </mc:Choice>
  </mc:AlternateContent>
  <xr:revisionPtr revIDLastSave="0" documentId="13_ncr:1_{7AF284E3-EC4E-4869-9328-0EF3A484A974}" xr6:coauthVersionLast="36" xr6:coauthVersionMax="36" xr10:uidLastSave="{00000000-0000-0000-0000-000000000000}"/>
  <bookViews>
    <workbookView xWindow="0" yWindow="0" windowWidth="17265" windowHeight="5775" activeTab="3" xr2:uid="{00000000-000D-0000-FFFF-FFFF00000000}"/>
  </bookViews>
  <sheets>
    <sheet name="CAPEX" sheetId="7" r:id="rId1"/>
    <sheet name="Production costs" sheetId="12" r:id="rId2"/>
    <sheet name="OPEX" sheetId="8" r:id="rId3"/>
    <sheet name="Summary" sheetId="11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8" i="11" l="1"/>
  <c r="K11" i="8"/>
  <c r="K10" i="8"/>
  <c r="K9" i="8"/>
  <c r="F27" i="11"/>
  <c r="F26" i="11"/>
  <c r="L14" i="7" l="1"/>
  <c r="L15" i="7"/>
  <c r="L13" i="7"/>
  <c r="D19" i="7"/>
  <c r="H19" i="7" s="1"/>
  <c r="D9" i="8" l="1"/>
  <c r="D6" i="8"/>
  <c r="D7" i="8"/>
  <c r="I23" i="11" l="1"/>
  <c r="L23" i="11" s="1"/>
  <c r="F23" i="11"/>
  <c r="H10" i="8" l="1"/>
  <c r="J10" i="8" s="1"/>
  <c r="D20" i="7"/>
  <c r="H20" i="7" s="1"/>
  <c r="D18" i="7"/>
  <c r="H18" i="7" s="1"/>
  <c r="D17" i="7"/>
  <c r="H17" i="7" s="1"/>
  <c r="G10" i="8" l="1"/>
  <c r="I10" i="8" l="1"/>
  <c r="H15" i="7" l="1"/>
  <c r="M14" i="7" l="1"/>
  <c r="N14" i="7" s="1"/>
  <c r="O14" i="7" s="1"/>
  <c r="Q14" i="7" s="1"/>
  <c r="D25" i="7" s="1"/>
  <c r="H25" i="7" s="1"/>
  <c r="H14" i="7"/>
  <c r="E5" i="8" l="1"/>
  <c r="F5" i="8" s="1"/>
  <c r="L17" i="11" l="1"/>
  <c r="L16" i="11"/>
  <c r="L15" i="11"/>
  <c r="I14" i="11"/>
  <c r="I13" i="11"/>
  <c r="I12" i="11"/>
  <c r="I11" i="11"/>
  <c r="H11" i="8"/>
  <c r="J11" i="8" s="1"/>
  <c r="G11" i="8"/>
  <c r="I11" i="8" s="1"/>
  <c r="G9" i="8"/>
  <c r="I9" i="8" s="1"/>
  <c r="H5" i="8"/>
  <c r="J5" i="8" s="1"/>
  <c r="G5" i="8"/>
  <c r="I5" i="8" s="1"/>
  <c r="H7" i="8"/>
  <c r="G7" i="8"/>
  <c r="H6" i="8"/>
  <c r="G6" i="8"/>
  <c r="J7" i="8" l="1"/>
  <c r="I7" i="8"/>
  <c r="G13" i="8"/>
  <c r="I20" i="11" s="1"/>
  <c r="I6" i="8"/>
  <c r="G12" i="8"/>
  <c r="C20" i="11" s="1"/>
  <c r="J6" i="8"/>
  <c r="F9" i="8"/>
  <c r="H9" i="8" s="1"/>
  <c r="H13" i="8" s="1"/>
  <c r="H12" i="8" l="1"/>
  <c r="L20" i="11"/>
  <c r="J9" i="8"/>
  <c r="F20" i="11"/>
  <c r="F14" i="11"/>
  <c r="L14" i="11" s="1"/>
  <c r="F13" i="11"/>
  <c r="L13" i="11" s="1"/>
  <c r="F12" i="11"/>
  <c r="L12" i="11" s="1"/>
  <c r="F11" i="11"/>
  <c r="L11" i="11" s="1"/>
  <c r="G6" i="12"/>
  <c r="G7" i="12" s="1"/>
  <c r="C43" i="7"/>
  <c r="G8" i="12" l="1"/>
  <c r="G9" i="12" s="1"/>
  <c r="C6" i="12" l="1"/>
  <c r="M15" i="7" l="1"/>
  <c r="N15" i="7" s="1"/>
  <c r="O15" i="7" s="1"/>
  <c r="Q15" i="7" s="1"/>
  <c r="D22" i="7" l="1"/>
  <c r="H22" i="7" s="1"/>
  <c r="C7" i="12" l="1"/>
  <c r="C8" i="12" l="1"/>
  <c r="C9" i="12" s="1"/>
  <c r="C16" i="11" l="1"/>
  <c r="I16" i="11" s="1"/>
  <c r="C15" i="11"/>
  <c r="I15" i="11" s="1"/>
  <c r="B43" i="7" l="1"/>
  <c r="C17" i="11" s="1"/>
  <c r="I17" i="11" s="1"/>
  <c r="M13" i="7" l="1"/>
  <c r="N13" i="7" s="1"/>
  <c r="O13" i="7" s="1"/>
  <c r="Q13" i="7" s="1"/>
  <c r="D24" i="7" s="1"/>
  <c r="H24" i="7" s="1"/>
  <c r="H26" i="7" s="1"/>
  <c r="B30" i="7" l="1"/>
  <c r="C3" i="11" s="1"/>
  <c r="I3" i="11" s="1"/>
  <c r="B31" i="7"/>
  <c r="B34" i="7" l="1"/>
  <c r="B38" i="7" s="1"/>
  <c r="C34" i="7"/>
  <c r="F3" i="11"/>
  <c r="L3" i="11" s="1"/>
  <c r="C11" i="12"/>
  <c r="B35" i="7"/>
  <c r="B37" i="7" s="1"/>
  <c r="C7" i="11" s="1"/>
  <c r="I7" i="11" s="1"/>
  <c r="C4" i="11"/>
  <c r="I4" i="11" s="1"/>
  <c r="C38" i="7" l="1"/>
  <c r="C35" i="7"/>
  <c r="C37" i="7" s="1"/>
  <c r="F7" i="11" s="1"/>
  <c r="L7" i="11" s="1"/>
  <c r="G11" i="12"/>
  <c r="F4" i="11"/>
  <c r="L4" i="11" s="1"/>
  <c r="C15" i="12"/>
  <c r="B39" i="7"/>
  <c r="C8" i="11"/>
  <c r="I8" i="11" s="1"/>
  <c r="C14" i="12"/>
  <c r="C12" i="12"/>
  <c r="B36" i="7"/>
  <c r="C6" i="11" s="1"/>
  <c r="I6" i="11" s="1"/>
  <c r="C5" i="11"/>
  <c r="I5" i="11" s="1"/>
  <c r="G15" i="12" l="1"/>
  <c r="C36" i="7"/>
  <c r="F6" i="11" s="1"/>
  <c r="L6" i="11" s="1"/>
  <c r="F5" i="11"/>
  <c r="L5" i="11" s="1"/>
  <c r="G12" i="12"/>
  <c r="G14" i="12"/>
  <c r="G16" i="12" s="1"/>
  <c r="C39" i="7"/>
  <c r="F8" i="11"/>
  <c r="L8" i="11" s="1"/>
  <c r="C16" i="12"/>
  <c r="B40" i="7"/>
  <c r="B44" i="7" s="1"/>
  <c r="B45" i="7" s="1"/>
  <c r="C18" i="11" s="1"/>
  <c r="I18" i="11" s="1"/>
  <c r="I26" i="11" s="1"/>
  <c r="C18" i="12"/>
  <c r="C19" i="12" s="1"/>
  <c r="C9" i="11"/>
  <c r="I9" i="11" s="1"/>
  <c r="I21" i="11" l="1"/>
  <c r="I22" i="11" s="1"/>
  <c r="I24" i="11" s="1"/>
  <c r="C40" i="7"/>
  <c r="G18" i="12"/>
  <c r="G19" i="12" s="1"/>
  <c r="G20" i="12" s="1"/>
  <c r="F9" i="11"/>
  <c r="L9" i="11" s="1"/>
  <c r="C10" i="11"/>
  <c r="I10" i="11" s="1"/>
  <c r="C20" i="12"/>
  <c r="C21" i="11" s="1"/>
  <c r="C22" i="11" s="1"/>
  <c r="C24" i="11" s="1"/>
  <c r="F10" i="11" l="1"/>
  <c r="L10" i="11" s="1"/>
  <c r="C44" i="7"/>
  <c r="C45" i="7" s="1"/>
  <c r="F18" i="11" s="1"/>
  <c r="L18" i="11" l="1"/>
  <c r="F21" i="11"/>
  <c r="F22" i="11" s="1"/>
  <c r="F24" i="11" s="1"/>
  <c r="L21" i="11" l="1"/>
  <c r="L22" i="11" s="1"/>
  <c r="L24" i="11" s="1"/>
  <c r="L26" i="11"/>
</calcChain>
</file>

<file path=xl/sharedStrings.xml><?xml version="1.0" encoding="utf-8"?>
<sst xmlns="http://schemas.openxmlformats.org/spreadsheetml/2006/main" count="249" uniqueCount="126">
  <si>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</si>
  <si>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</si>
  <si>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</si>
  <si>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</si>
  <si>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</si>
  <si>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</si>
  <si>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</si>
  <si>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</si>
  <si>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</si>
  <si>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</si>
  <si>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</si>
  <si>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</si>
  <si>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</si>
  <si>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</si>
  <si>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</si>
  <si>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</si>
  <si>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</si>
  <si>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</si>
  <si>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</si>
  <si>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</si>
  <si>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Internal diameter (m)</t>
  </si>
  <si>
    <t>External diameter (m)</t>
  </si>
  <si>
    <t>Equipment</t>
  </si>
  <si>
    <t>Material</t>
  </si>
  <si>
    <t>Cooling water</t>
  </si>
  <si>
    <t>Electricity</t>
  </si>
  <si>
    <t>Project lifetime</t>
  </si>
  <si>
    <t>Interest rate</t>
  </si>
  <si>
    <t>ACCR</t>
  </si>
  <si>
    <t>Unit</t>
  </si>
  <si>
    <t>Quantity</t>
  </si>
  <si>
    <t>ton/hr</t>
  </si>
  <si>
    <t>GJ/hr</t>
  </si>
  <si>
    <t>kWh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</si>
  <si>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</si>
  <si>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</si>
  <si>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</si>
  <si>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</si>
  <si>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</si>
  <si>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</si>
  <si>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</si>
  <si>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</si>
  <si>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</si>
  <si>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</si>
  <si>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</si>
  <si>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</si>
  <si>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V-100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</si>
  <si>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</si>
  <si>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</si>
  <si>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>U Tube HEX</t>
  </si>
  <si>
    <t xml:space="preserve">Area </t>
  </si>
  <si>
    <t>Reactors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</si>
  <si>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</si>
  <si>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</si>
  <si>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</si>
  <si>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</si>
  <si>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</si>
  <si>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</si>
  <si>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</si>
  <si>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</si>
  <si>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</si>
  <si>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</si>
  <si>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Purchased equipment cost 2019 (M$/year)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</si>
  <si>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</si>
  <si>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</si>
  <si>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</si>
  <si>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</si>
  <si>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</si>
  <si>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</si>
  <si>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 xml:space="preserve">Maintanance </t>
  </si>
  <si>
    <t>3% of the installed capital cost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</si>
  <si>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</si>
  <si>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</si>
  <si>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</si>
  <si>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</si>
  <si>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</si>
  <si>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</si>
  <si>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</si>
  <si>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</si>
  <si>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</si>
  <si>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</si>
  <si>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</si>
  <si>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</si>
  <si>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</si>
  <si>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9 shift positions, 9 operators/shift</t>
  </si>
  <si>
    <t>CEPCI 2018</t>
  </si>
  <si>
    <t>Reference Data</t>
  </si>
  <si>
    <t>2019 costs</t>
  </si>
  <si>
    <t xml:space="preserve">OPEX (M$/year) </t>
  </si>
  <si>
    <t>Heat exchangers</t>
  </si>
  <si>
    <t>Pressure vessel</t>
  </si>
  <si>
    <t>CRV-100</t>
  </si>
  <si>
    <t>Flash separators</t>
  </si>
  <si>
    <t>CEPCI 2022</t>
  </si>
  <si>
    <t>Purchased equipment cost 2022</t>
  </si>
  <si>
    <t>Purchased equipment cost 2022 (M$/year)</t>
  </si>
  <si>
    <t>Total product Produced (kg/hr)</t>
  </si>
  <si>
    <t>Total expenses ($/hr)</t>
  </si>
  <si>
    <t>Total expenses (M$/year)</t>
  </si>
  <si>
    <t>Fixed production costs (M$/year)</t>
  </si>
  <si>
    <t>Fossil ammonia 2019</t>
  </si>
  <si>
    <t>Fossil ammonia 2022</t>
  </si>
  <si>
    <t>Oxygen</t>
  </si>
  <si>
    <t>Ammonia fossil</t>
  </si>
  <si>
    <t>2022 costs</t>
  </si>
  <si>
    <t>Raw material costs</t>
  </si>
  <si>
    <t>Ammonia wind</t>
  </si>
  <si>
    <t>Utility costs</t>
  </si>
  <si>
    <t>Price 2019 ($/unit)</t>
  </si>
  <si>
    <t>Price 2022 ($/unit)</t>
  </si>
  <si>
    <t>OPEX (fossil ammonia)</t>
  </si>
  <si>
    <t>OPEX (wind ammonia)</t>
  </si>
  <si>
    <t>Wind ammonia 2019</t>
  </si>
  <si>
    <t>Wind ammonia 2022</t>
  </si>
  <si>
    <t xml:space="preserve">Cost per kg </t>
  </si>
  <si>
    <t>Compressors</t>
  </si>
  <si>
    <t xml:space="preserve">Centrifugal Compressor </t>
  </si>
  <si>
    <t>Power, kW</t>
  </si>
  <si>
    <t>K-100</t>
  </si>
  <si>
    <t>K-101</t>
  </si>
  <si>
    <t>V-101</t>
  </si>
  <si>
    <t>E-103</t>
  </si>
  <si>
    <t>Natural gas</t>
  </si>
  <si>
    <t>E-105</t>
  </si>
  <si>
    <t>E-102</t>
  </si>
  <si>
    <t>E-104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</si>
</sst>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1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0" xfId="0" applyFont="1"/>
    <xf numFmtId="0" fontId="0" fillId="0" borderId="1" xfId="0" applyFont="1" applyBorder="1"/>
    <xf numFmtId="0" fontId="1" fillId="0" borderId="1" xfId="0" applyFont="1" applyBorder="1"/>
    <xf numFmtId="0" fontId="0" fillId="0" borderId="1" xfId="0" applyFont="1" applyFill="1" applyBorder="1"/>
    <xf numFmtId="0" fontId="0" fillId="0" borderId="0" xfId="0" applyFont="1" applyBorder="1"/>
    <xf numFmtId="0" fontId="0" fillId="0" borderId="1" xfId="0" applyFont="1" applyBorder="1" applyAlignment="1">
      <alignment horizontal="center"/>
    </xf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0" fillId="0" borderId="1" xfId="0" applyNumberFormat="1" applyBorder="1"/>
    <xf numFmtId="2" fontId="0" fillId="0" borderId="1" xfId="0" applyNumberFormat="1" applyBorder="1"/>
    <xf numFmtId="0" fontId="0" fillId="0" borderId="0" xfId="0" applyFill="1" applyBorder="1" applyAlignment="1">
      <alignment horizontal="center"/>
    </xf>
    <xf numFmtId="2" fontId="0" fillId="0" borderId="1" xfId="0" applyNumberFormat="1" applyFont="1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2" fontId="0" fillId="0" borderId="3" xfId="0" applyNumberFormat="1" applyFont="1" applyBorder="1"/>
    <xf numFmtId="0" fontId="1" fillId="0" borderId="1" xfId="0" applyFont="1" applyFill="1" applyBorder="1"/>
    <xf numFmtId="2" fontId="1" fillId="0" borderId="4" xfId="0" applyNumberFormat="1" applyFont="1" applyBorder="1"/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0" fontId="8" fillId="0" borderId="1" xfId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ill="1" applyBorder="1" applyAlignment="1">
      <alignment horizontal="left"/>
    </xf>
    <xf numFmtId="2" fontId="0" fillId="0" borderId="1" xfId="0" applyNumberFormat="1" applyFont="1" applyFill="1" applyBorder="1" applyAlignment="1">
      <alignment horizontal="center"/>
    </xf>
    <xf numFmtId="0" fontId="0" fillId="0" borderId="2" xfId="0" applyFont="1" applyBorder="1"/>
    <xf numFmtId="2" fontId="0" fillId="0" borderId="1" xfId="0" applyNumberFormat="1" applyFont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11" fontId="0" fillId="0" borderId="0" xfId="0" applyNumberFormat="1"/>
    <xf numFmtId="165" fontId="1" fillId="2" borderId="1" xfId="0" applyNumberFormat="1" applyFont="1" applyFill="1" applyBorder="1" applyAlignment="1">
      <alignment horizontal="center"/>
    </xf>
    <xf numFmtId="2" fontId="0" fillId="0" borderId="0" xfId="0" applyNumberFormat="1"/>
    <xf numFmtId="0" fontId="4" fillId="0" borderId="0" xfId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3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"/>
  <sheetViews>
    <sheetView topLeftCell="A10" zoomScale="115" zoomScaleNormal="115" workbookViewId="0">
      <selection activeCell="J27" sqref="J27"/>
    </sheetView>
  </sheetViews>
  <sheetFormatPr defaultRowHeight="15" x14ac:dyDescent="0.25"/>
  <cols>
    <col min="1" max="1" width="27.85546875" bestFit="1" customWidth="1"/>
    <col min="2" max="2" width="21.140625" bestFit="1" customWidth="1"/>
    <col min="3" max="3" width="16.140625" bestFit="1" customWidth="1"/>
    <col min="4" max="4" width="9.5703125" style="31" bestFit="1" customWidth="1"/>
    <col min="5" max="5" width="7.7109375" bestFit="1" customWidth="1"/>
    <col min="6" max="6" width="6.85546875" bestFit="1" customWidth="1"/>
    <col min="7" max="7" width="5.7109375" bestFit="1" customWidth="1"/>
    <col min="8" max="8" width="9.28515625" bestFit="1" customWidth="1"/>
    <col min="10" max="10" width="11.140625" bestFit="1" customWidth="1"/>
    <col min="11" max="11" width="11.5703125" bestFit="1" customWidth="1"/>
    <col min="12" max="12" width="7" bestFit="1" customWidth="1"/>
    <col min="13" max="13" width="9.28515625" bestFit="1" customWidth="1"/>
    <col min="14" max="14" width="9" bestFit="1" customWidth="1"/>
    <col min="15" max="15" width="8.28515625" bestFit="1" customWidth="1"/>
    <col min="16" max="16" width="7.5703125" bestFit="1" customWidth="1"/>
    <col min="17" max="17" width="10.85546875" bestFit="1" customWidth="1"/>
  </cols>
  <sheetData>
    <row r="1" spans="1:17" x14ac:dyDescent="0.25">
      <c r="A1" s="2" t="s">
        <v>0</v>
      </c>
      <c r="B1" s="3"/>
      <c r="C1" s="3"/>
    </row>
    <row r="2" spans="1:17" ht="18" x14ac:dyDescent="0.35">
      <c r="A2" s="3" t="s">
        <v>1</v>
      </c>
      <c r="B2" s="3" t="s">
        <v>38</v>
      </c>
      <c r="C2" s="3">
        <v>0.3</v>
      </c>
    </row>
    <row r="3" spans="1:17" ht="18" x14ac:dyDescent="0.35">
      <c r="A3" s="3" t="s">
        <v>2</v>
      </c>
      <c r="B3" s="3" t="s">
        <v>39</v>
      </c>
      <c r="C3" s="3">
        <v>0.8</v>
      </c>
    </row>
    <row r="4" spans="1:17" ht="18" x14ac:dyDescent="0.35">
      <c r="A4" s="3" t="s">
        <v>3</v>
      </c>
      <c r="B4" s="3" t="s">
        <v>40</v>
      </c>
      <c r="C4" s="3">
        <v>0.3</v>
      </c>
    </row>
    <row r="5" spans="1:17" ht="18" x14ac:dyDescent="0.35">
      <c r="A5" s="3" t="s">
        <v>4</v>
      </c>
      <c r="B5" s="3" t="s">
        <v>41</v>
      </c>
      <c r="C5" s="3">
        <v>0.2</v>
      </c>
    </row>
    <row r="6" spans="1:17" ht="18" x14ac:dyDescent="0.35">
      <c r="A6" s="3" t="s">
        <v>5</v>
      </c>
      <c r="B6" s="3" t="s">
        <v>42</v>
      </c>
      <c r="C6" s="3">
        <v>0.3</v>
      </c>
    </row>
    <row r="7" spans="1:17" ht="18" x14ac:dyDescent="0.35">
      <c r="A7" s="3" t="s">
        <v>6</v>
      </c>
      <c r="B7" s="3" t="s">
        <v>43</v>
      </c>
      <c r="C7" s="3">
        <v>0.2</v>
      </c>
    </row>
    <row r="8" spans="1:17" ht="18" x14ac:dyDescent="0.35">
      <c r="A8" s="3" t="s">
        <v>7</v>
      </c>
      <c r="B8" s="3" t="s">
        <v>44</v>
      </c>
      <c r="C8" s="3">
        <v>0.1</v>
      </c>
    </row>
    <row r="9" spans="1:17" ht="18" x14ac:dyDescent="0.35">
      <c r="A9" s="3" t="s">
        <v>8</v>
      </c>
      <c r="B9" s="3" t="s">
        <v>45</v>
      </c>
      <c r="C9" s="3">
        <v>1.3</v>
      </c>
    </row>
    <row r="10" spans="1:17" x14ac:dyDescent="0.25">
      <c r="A10" s="22"/>
      <c r="B10" s="22"/>
      <c r="C10" s="22"/>
    </row>
    <row r="12" spans="1:17" ht="63.75" x14ac:dyDescent="0.35">
      <c r="A12" s="4" t="s">
        <v>9</v>
      </c>
      <c r="B12" s="5" t="s">
        <v>13</v>
      </c>
      <c r="C12" s="5" t="s">
        <v>14</v>
      </c>
      <c r="D12" s="19" t="s">
        <v>15</v>
      </c>
      <c r="E12" s="4" t="s">
        <v>10</v>
      </c>
      <c r="F12" s="4" t="s">
        <v>11</v>
      </c>
      <c r="G12" s="4" t="s">
        <v>12</v>
      </c>
      <c r="H12" s="5" t="s">
        <v>19</v>
      </c>
      <c r="J12" s="2" t="s">
        <v>22</v>
      </c>
      <c r="K12" s="5" t="s">
        <v>20</v>
      </c>
      <c r="L12" s="5" t="s">
        <v>17</v>
      </c>
      <c r="M12" s="5" t="s">
        <v>21</v>
      </c>
      <c r="N12" s="5" t="s">
        <v>47</v>
      </c>
      <c r="O12" s="5" t="s">
        <v>16</v>
      </c>
      <c r="P12" s="5" t="s">
        <v>48</v>
      </c>
      <c r="Q12" s="5" t="s">
        <v>18</v>
      </c>
    </row>
    <row r="13" spans="1:17" x14ac:dyDescent="0.25">
      <c r="A13" s="48" t="s">
        <v>115</v>
      </c>
      <c r="B13" s="49"/>
      <c r="C13" s="49"/>
      <c r="D13" s="49"/>
      <c r="E13" s="49"/>
      <c r="F13" s="49"/>
      <c r="G13" s="49"/>
      <c r="H13" s="50"/>
      <c r="J13" s="33" t="s">
        <v>46</v>
      </c>
      <c r="K13" s="34">
        <v>1.6763999999999999</v>
      </c>
      <c r="L13" s="34">
        <f>4.7244+2*0.25*K13</f>
        <v>5.5625999999999998</v>
      </c>
      <c r="M13" s="37">
        <f t="shared" ref="M13" si="0">K13+0.0254</f>
        <v>1.7018</v>
      </c>
      <c r="N13" s="37">
        <f t="shared" ref="N13" si="1">PI()*(M13*M13-K13*K13)/4</f>
        <v>6.7392094719967474E-2</v>
      </c>
      <c r="O13" s="37">
        <f t="shared" ref="O13" si="2">N13*L13</f>
        <v>0.37487526608929106</v>
      </c>
      <c r="P13" s="35">
        <v>8000</v>
      </c>
      <c r="Q13" s="34">
        <f t="shared" ref="Q13" si="3">P13*O13</f>
        <v>2999.0021287143286</v>
      </c>
    </row>
    <row r="14" spans="1:17" x14ac:dyDescent="0.25">
      <c r="A14" s="6" t="s">
        <v>118</v>
      </c>
      <c r="B14" s="6" t="s">
        <v>116</v>
      </c>
      <c r="C14" s="6" t="s">
        <v>117</v>
      </c>
      <c r="D14" s="9">
        <v>1366.50305</v>
      </c>
      <c r="E14" s="8">
        <v>580000</v>
      </c>
      <c r="F14" s="8">
        <v>20000</v>
      </c>
      <c r="G14" s="9">
        <v>0.6</v>
      </c>
      <c r="H14" s="9">
        <f t="shared" ref="H14" si="4">(E14+(F14*(D14^G14)))/1000000</f>
        <v>2.1019358909652586</v>
      </c>
      <c r="J14" s="33" t="s">
        <v>120</v>
      </c>
      <c r="K14" s="34">
        <v>1.3715999999999999</v>
      </c>
      <c r="L14" s="34">
        <f>3.6576+2*0.25*K14</f>
        <v>4.3433999999999999</v>
      </c>
      <c r="M14" s="37">
        <f t="shared" ref="M14" si="5">K14+0.0254</f>
        <v>1.397</v>
      </c>
      <c r="N14" s="37">
        <f t="shared" ref="N14" si="6">PI()*(M14*M14-K14*K14)/4</f>
        <v>5.5231115221627589E-2</v>
      </c>
      <c r="O14" s="37">
        <f t="shared" ref="O14" si="7">N14*L14</f>
        <v>0.23989082585361726</v>
      </c>
      <c r="P14" s="35">
        <v>8000</v>
      </c>
      <c r="Q14" s="34">
        <f t="shared" ref="Q14" si="8">P14*O14</f>
        <v>1919.1266068289381</v>
      </c>
    </row>
    <row r="15" spans="1:17" x14ac:dyDescent="0.25">
      <c r="A15" s="6" t="s">
        <v>119</v>
      </c>
      <c r="B15" s="6" t="s">
        <v>116</v>
      </c>
      <c r="C15" s="6" t="s">
        <v>117</v>
      </c>
      <c r="D15" s="9">
        <v>518.80826500000001</v>
      </c>
      <c r="E15" s="8">
        <v>580000</v>
      </c>
      <c r="F15" s="8">
        <v>20000</v>
      </c>
      <c r="G15" s="9">
        <v>0.6</v>
      </c>
      <c r="H15" s="9">
        <f t="shared" ref="H15" si="9">(E15+(F15*(D15^G15)))/1000000</f>
        <v>1.4312049241659026</v>
      </c>
      <c r="J15" s="33" t="s">
        <v>91</v>
      </c>
      <c r="K15" s="34">
        <v>1.6763999999999999</v>
      </c>
      <c r="L15" s="34">
        <f>4.7244+2*0.25*K15</f>
        <v>5.5625999999999998</v>
      </c>
      <c r="M15" s="37">
        <f t="shared" ref="M15" si="10">K15+0.0254</f>
        <v>1.7018</v>
      </c>
      <c r="N15" s="37">
        <f t="shared" ref="N15" si="11">PI()*(M15*M15-K15*K15)/4</f>
        <v>6.7392094719967474E-2</v>
      </c>
      <c r="O15" s="37">
        <f t="shared" ref="O15" si="12">N15*L15</f>
        <v>0.37487526608929106</v>
      </c>
      <c r="P15" s="35">
        <v>8000</v>
      </c>
      <c r="Q15" s="34">
        <f t="shared" ref="Q15" si="13">P15*O15</f>
        <v>2999.0021287143286</v>
      </c>
    </row>
    <row r="16" spans="1:17" x14ac:dyDescent="0.25">
      <c r="A16" s="48" t="s">
        <v>89</v>
      </c>
      <c r="B16" s="49"/>
      <c r="C16" s="49"/>
      <c r="D16" s="49"/>
      <c r="E16" s="49"/>
      <c r="F16" s="49"/>
      <c r="G16" s="49"/>
      <c r="H16" s="50"/>
    </row>
    <row r="17" spans="1:10" x14ac:dyDescent="0.25">
      <c r="A17" s="6" t="s">
        <v>121</v>
      </c>
      <c r="B17" s="6" t="s">
        <v>49</v>
      </c>
      <c r="C17" s="6" t="s">
        <v>50</v>
      </c>
      <c r="D17" s="21">
        <f>I17/J17</f>
        <v>298.77983839255648</v>
      </c>
      <c r="E17" s="8">
        <v>28000</v>
      </c>
      <c r="F17" s="8">
        <v>54</v>
      </c>
      <c r="G17" s="9">
        <v>1.2</v>
      </c>
      <c r="H17" s="9">
        <f>(E17+(F17*(D17^G17)))/1000000*J17</f>
        <v>0.15688934468014293</v>
      </c>
      <c r="I17" s="46">
        <v>597.55967678511297</v>
      </c>
      <c r="J17" s="47">
        <v>2</v>
      </c>
    </row>
    <row r="18" spans="1:10" x14ac:dyDescent="0.25">
      <c r="A18" s="6" t="s">
        <v>123</v>
      </c>
      <c r="B18" s="6" t="s">
        <v>49</v>
      </c>
      <c r="C18" s="6" t="s">
        <v>50</v>
      </c>
      <c r="D18" s="21">
        <f>I18/J18</f>
        <v>499.27777342721697</v>
      </c>
      <c r="E18" s="8">
        <v>28000</v>
      </c>
      <c r="F18" s="8">
        <v>54</v>
      </c>
      <c r="G18" s="9">
        <v>1.2</v>
      </c>
      <c r="H18" s="9">
        <f>(E18+(F18*(D18^G18)))/1000000*J18</f>
        <v>1.5783609451117344</v>
      </c>
      <c r="I18" s="46">
        <v>6490.6110545538204</v>
      </c>
      <c r="J18" s="47">
        <v>13</v>
      </c>
    </row>
    <row r="19" spans="1:10" x14ac:dyDescent="0.25">
      <c r="A19" s="6" t="s">
        <v>124</v>
      </c>
      <c r="B19" s="6" t="s">
        <v>49</v>
      </c>
      <c r="C19" s="6" t="s">
        <v>50</v>
      </c>
      <c r="D19" s="21">
        <f>I19/J19</f>
        <v>419.54921642522874</v>
      </c>
      <c r="E19" s="8">
        <v>28000</v>
      </c>
      <c r="F19" s="8">
        <v>54</v>
      </c>
      <c r="G19" s="9">
        <v>1.2</v>
      </c>
      <c r="H19" s="9">
        <f>(E19+(F19*(D19^G19)))/1000000*J19</f>
        <v>0.83048944072600983</v>
      </c>
      <c r="I19" s="46">
        <v>3356.3937314018299</v>
      </c>
      <c r="J19" s="47">
        <v>8</v>
      </c>
    </row>
    <row r="20" spans="1:10" x14ac:dyDescent="0.25">
      <c r="A20" s="6" t="s">
        <v>125</v>
      </c>
      <c r="B20" s="6" t="s">
        <v>49</v>
      </c>
      <c r="C20" s="6" t="s">
        <v>50</v>
      </c>
      <c r="D20" s="21">
        <f>I20/J20</f>
        <v>286.42402382965702</v>
      </c>
      <c r="E20" s="8">
        <v>28000</v>
      </c>
      <c r="F20" s="8">
        <v>54</v>
      </c>
      <c r="G20" s="9">
        <v>1.2</v>
      </c>
      <c r="H20" s="9">
        <f>(E20+(F20*(D20^G20)))/1000000*J20</f>
        <v>7.5951819384062716E-2</v>
      </c>
      <c r="I20" s="46">
        <v>286.42402382965702</v>
      </c>
      <c r="J20" s="47">
        <v>1</v>
      </c>
    </row>
    <row r="21" spans="1:10" x14ac:dyDescent="0.25">
      <c r="A21" s="51" t="s">
        <v>51</v>
      </c>
      <c r="B21" s="52"/>
      <c r="C21" s="52"/>
      <c r="D21" s="52"/>
      <c r="E21" s="52"/>
      <c r="F21" s="52"/>
      <c r="G21" s="52"/>
      <c r="H21" s="53"/>
    </row>
    <row r="22" spans="1:10" x14ac:dyDescent="0.25">
      <c r="A22" s="7" t="s">
        <v>91</v>
      </c>
      <c r="B22" s="6" t="s">
        <v>90</v>
      </c>
      <c r="C22" s="6" t="s">
        <v>52</v>
      </c>
      <c r="D22" s="9">
        <f>Q15</f>
        <v>2999.0021287143286</v>
      </c>
      <c r="E22" s="8">
        <v>17400</v>
      </c>
      <c r="F22" s="8">
        <v>79</v>
      </c>
      <c r="G22" s="9">
        <v>0.85</v>
      </c>
      <c r="H22" s="9">
        <f>(E22+(F22*(D22^G22)))/1000000</f>
        <v>8.8694716961128878E-2</v>
      </c>
    </row>
    <row r="23" spans="1:10" x14ac:dyDescent="0.25">
      <c r="A23" s="48" t="s">
        <v>92</v>
      </c>
      <c r="B23" s="49"/>
      <c r="C23" s="49"/>
      <c r="D23" s="49"/>
      <c r="E23" s="49"/>
      <c r="F23" s="49"/>
      <c r="G23" s="49"/>
      <c r="H23" s="50"/>
    </row>
    <row r="24" spans="1:10" x14ac:dyDescent="0.25">
      <c r="A24" s="6" t="s">
        <v>46</v>
      </c>
      <c r="B24" s="6" t="s">
        <v>90</v>
      </c>
      <c r="C24" s="6" t="s">
        <v>52</v>
      </c>
      <c r="D24" s="9">
        <f>Q13</f>
        <v>2999.0021287143286</v>
      </c>
      <c r="E24" s="8">
        <v>17400</v>
      </c>
      <c r="F24" s="8">
        <v>79</v>
      </c>
      <c r="G24" s="9">
        <v>0.85</v>
      </c>
      <c r="H24" s="9">
        <f>(E24+(F24*(D24^G24)))/1000000</f>
        <v>8.8694716961128878E-2</v>
      </c>
    </row>
    <row r="25" spans="1:10" x14ac:dyDescent="0.25">
      <c r="A25" s="6" t="s">
        <v>120</v>
      </c>
      <c r="B25" s="6" t="s">
        <v>90</v>
      </c>
      <c r="C25" s="6" t="s">
        <v>52</v>
      </c>
      <c r="D25" s="9">
        <f>Q14</f>
        <v>1919.1266068289381</v>
      </c>
      <c r="E25" s="8">
        <v>17400</v>
      </c>
      <c r="F25" s="8">
        <v>79</v>
      </c>
      <c r="G25" s="9">
        <v>0.85</v>
      </c>
      <c r="H25" s="9">
        <f t="shared" ref="H25" si="14">(E25+(F25*(D25^G25)))/1000000</f>
        <v>6.6182625876606713E-2</v>
      </c>
    </row>
    <row r="26" spans="1:10" x14ac:dyDescent="0.25">
      <c r="H26" s="38">
        <f>SUM(H14:H25)</f>
        <v>6.4184044248319756</v>
      </c>
    </row>
    <row r="27" spans="1:10" x14ac:dyDescent="0.25">
      <c r="A27" s="24" t="s">
        <v>34</v>
      </c>
      <c r="B27" s="21">
        <v>532.9</v>
      </c>
    </row>
    <row r="28" spans="1:10" x14ac:dyDescent="0.25">
      <c r="A28" s="24" t="s">
        <v>35</v>
      </c>
      <c r="B28" s="21">
        <v>607.5</v>
      </c>
    </row>
    <row r="29" spans="1:10" x14ac:dyDescent="0.25">
      <c r="A29" s="24" t="s">
        <v>93</v>
      </c>
      <c r="B29" s="21">
        <v>816</v>
      </c>
    </row>
    <row r="30" spans="1:10" x14ac:dyDescent="0.25">
      <c r="A30" s="24" t="s">
        <v>53</v>
      </c>
      <c r="B30" s="21">
        <f>H26*B28/B27</f>
        <v>7.3169087785427385</v>
      </c>
    </row>
    <row r="31" spans="1:10" x14ac:dyDescent="0.25">
      <c r="A31" s="24" t="s">
        <v>94</v>
      </c>
      <c r="B31" s="21">
        <f>H26*B29/B27</f>
        <v>9.8281441371043208</v>
      </c>
    </row>
    <row r="32" spans="1:10" x14ac:dyDescent="0.25">
      <c r="A32" s="39"/>
      <c r="B32" s="32"/>
    </row>
    <row r="33" spans="1:15" x14ac:dyDescent="0.25">
      <c r="B33" s="36">
        <v>2019</v>
      </c>
      <c r="C33" s="36">
        <v>2022</v>
      </c>
    </row>
    <row r="34" spans="1:15" x14ac:dyDescent="0.25">
      <c r="A34" s="26" t="s">
        <v>54</v>
      </c>
      <c r="B34" s="40">
        <f>(B30)*((1+C3)+(C2+C5+C4+C6+C7+C8)/C9)*C9</f>
        <v>27.365238831749846</v>
      </c>
      <c r="C34" s="40">
        <f>(B31)*((1+C3)+(C2+C5+C4+C6+C7+C8)/C9)*C9</f>
        <v>36.757259072770168</v>
      </c>
    </row>
    <row r="35" spans="1:15" x14ac:dyDescent="0.25">
      <c r="A35" s="26" t="s">
        <v>55</v>
      </c>
      <c r="B35" s="40">
        <f>0.3*B34</f>
        <v>8.2095716495249533</v>
      </c>
      <c r="C35" s="40">
        <f>0.3*C34</f>
        <v>11.02717772183105</v>
      </c>
    </row>
    <row r="36" spans="1:15" x14ac:dyDescent="0.25">
      <c r="A36" s="26" t="s">
        <v>56</v>
      </c>
      <c r="B36" s="40">
        <f>0.3*SUM(B34:B35)</f>
        <v>10.672443144382438</v>
      </c>
      <c r="C36" s="40">
        <f>0.3*SUM(C34:C35)</f>
        <v>14.335331038380366</v>
      </c>
      <c r="D36"/>
    </row>
    <row r="37" spans="1:15" x14ac:dyDescent="0.25">
      <c r="A37" s="26" t="s">
        <v>57</v>
      </c>
      <c r="B37" s="40">
        <f>0.1*SUM(B34:B35)</f>
        <v>3.5574810481274799</v>
      </c>
      <c r="C37" s="40">
        <f>0.1*SUM(C34:C35)</f>
        <v>4.7784436794601222</v>
      </c>
      <c r="D37"/>
    </row>
    <row r="38" spans="1:15" x14ac:dyDescent="0.25">
      <c r="A38" s="26" t="s">
        <v>58</v>
      </c>
      <c r="B38" s="40">
        <f>B34*(1+0.3)*(1+0.3+0.1)</f>
        <v>49.804734673784729</v>
      </c>
      <c r="C38" s="40">
        <f>C34*(1+0.3)*(1+0.3+0.1)</f>
        <v>66.898211512441719</v>
      </c>
      <c r="D38"/>
    </row>
    <row r="39" spans="1:15" x14ac:dyDescent="0.25">
      <c r="A39" s="26" t="s">
        <v>61</v>
      </c>
      <c r="B39" s="40">
        <f>B38*0.15</f>
        <v>7.4707102010677087</v>
      </c>
      <c r="C39" s="40">
        <f>C38*0.15</f>
        <v>10.034731726866257</v>
      </c>
      <c r="D39"/>
    </row>
    <row r="40" spans="1:15" x14ac:dyDescent="0.25">
      <c r="A40" s="26" t="s">
        <v>59</v>
      </c>
      <c r="B40" s="40">
        <f>B38+B39</f>
        <v>57.27544487485244</v>
      </c>
      <c r="C40" s="40">
        <f>C38+C39</f>
        <v>76.932943239307974</v>
      </c>
      <c r="D40"/>
      <c r="O40" s="44"/>
    </row>
    <row r="41" spans="1:15" x14ac:dyDescent="0.25">
      <c r="A41" s="26" t="s">
        <v>26</v>
      </c>
      <c r="B41" s="40">
        <v>25</v>
      </c>
      <c r="C41" s="40">
        <v>25</v>
      </c>
    </row>
    <row r="42" spans="1:15" x14ac:dyDescent="0.25">
      <c r="A42" s="26" t="s">
        <v>27</v>
      </c>
      <c r="B42" s="40">
        <v>0.12</v>
      </c>
      <c r="C42" s="40">
        <v>0.12</v>
      </c>
    </row>
    <row r="43" spans="1:15" x14ac:dyDescent="0.25">
      <c r="A43" s="26" t="s">
        <v>28</v>
      </c>
      <c r="B43" s="40">
        <f>(B42*((1+B42)^B41))/(((1+B42)^B41)-1)</f>
        <v>0.12749996980950773</v>
      </c>
      <c r="C43" s="40">
        <f>(C42*((1+C42)^C41))/(((1+C42)^C41)-1)</f>
        <v>0.12749996980950773</v>
      </c>
    </row>
    <row r="44" spans="1:15" x14ac:dyDescent="0.25">
      <c r="A44" s="26" t="s">
        <v>60</v>
      </c>
      <c r="B44" s="40">
        <f>B43*B40</f>
        <v>7.3026174923698104</v>
      </c>
      <c r="C44" s="40">
        <f>C43*C40</f>
        <v>9.8089479403683377</v>
      </c>
    </row>
    <row r="45" spans="1:15" x14ac:dyDescent="0.25">
      <c r="A45" s="25" t="s">
        <v>36</v>
      </c>
      <c r="B45" s="19">
        <f>B44</f>
        <v>7.3026174923698104</v>
      </c>
      <c r="C45" s="19">
        <f>C44</f>
        <v>9.8089479403683377</v>
      </c>
    </row>
    <row r="86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</sheetData>
  <mergeCells count="4">
    <mergeCell ref="A16:H16"/>
    <mergeCell ref="A21:H21"/>
    <mergeCell ref="A23:H23"/>
    <mergeCell ref="A13:H13"/>
  </mergeCells>
  <conditionalFormatting sqref="I17">
    <cfRule type="cellIs" dxfId="2" priority="4" operator="lessThanOrEqual">
      <formula>1000</formula>
    </cfRule>
  </conditionalFormatting>
  <conditionalFormatting sqref="I18 I20">
    <cfRule type="cellIs" dxfId="1" priority="2" operator="lessThanOrEqual">
      <formula>1000</formula>
    </cfRule>
  </conditionalFormatting>
  <conditionalFormatting sqref="I19">
    <cfRule type="cellIs" dxfId="0" priority="1" operator="lessThanOrEqual">
      <formula>1000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G20"/>
  <sheetViews>
    <sheetView zoomScale="115" zoomScaleNormal="115" workbookViewId="0">
      <selection activeCell="A17" sqref="A17:C17"/>
    </sheetView>
  </sheetViews>
  <sheetFormatPr defaultRowHeight="15" x14ac:dyDescent="0.25"/>
  <cols>
    <col min="1" max="1" width="15.28515625" bestFit="1" customWidth="1"/>
    <col min="2" max="2" width="34.42578125" customWidth="1"/>
    <col min="3" max="3" width="8.5703125" bestFit="1" customWidth="1"/>
    <col min="5" max="5" width="15.28515625" customWidth="1"/>
    <col min="6" max="6" width="30.42578125" bestFit="1" customWidth="1"/>
    <col min="7" max="7" width="8.5703125" bestFit="1" customWidth="1"/>
  </cols>
  <sheetData>
    <row r="3" spans="1:7" x14ac:dyDescent="0.25">
      <c r="A3" s="54">
        <v>2019</v>
      </c>
      <c r="B3" s="54"/>
      <c r="C3" s="54"/>
      <c r="E3" s="54">
        <v>2022</v>
      </c>
      <c r="F3" s="54"/>
      <c r="G3" s="54"/>
    </row>
    <row r="4" spans="1:7" x14ac:dyDescent="0.25">
      <c r="A4" s="4" t="s">
        <v>65</v>
      </c>
      <c r="B4" s="4" t="s">
        <v>66</v>
      </c>
      <c r="C4" s="13" t="s">
        <v>37</v>
      </c>
      <c r="E4" s="36" t="s">
        <v>65</v>
      </c>
      <c r="F4" s="36" t="s">
        <v>66</v>
      </c>
      <c r="G4" s="13" t="s">
        <v>37</v>
      </c>
    </row>
    <row r="5" spans="1:7" x14ac:dyDescent="0.25">
      <c r="A5" s="54" t="s">
        <v>81</v>
      </c>
      <c r="B5" s="54"/>
      <c r="C5" s="54"/>
      <c r="E5" s="54" t="s">
        <v>81</v>
      </c>
      <c r="F5" s="54"/>
      <c r="G5" s="54"/>
    </row>
    <row r="6" spans="1:7" x14ac:dyDescent="0.25">
      <c r="A6" s="10" t="s">
        <v>73</v>
      </c>
      <c r="B6" s="10" t="s">
        <v>84</v>
      </c>
      <c r="C6" s="10">
        <f>50000*9*9/1000000</f>
        <v>4.05</v>
      </c>
      <c r="E6" s="10" t="s">
        <v>73</v>
      </c>
      <c r="F6" s="10" t="s">
        <v>84</v>
      </c>
      <c r="G6" s="10">
        <f>50000*9*9/1000000</f>
        <v>4.05</v>
      </c>
    </row>
    <row r="7" spans="1:7" x14ac:dyDescent="0.25">
      <c r="A7" s="10" t="s">
        <v>63</v>
      </c>
      <c r="B7" s="10" t="s">
        <v>64</v>
      </c>
      <c r="C7" s="21">
        <f>0.25*C6</f>
        <v>1.0125</v>
      </c>
      <c r="E7" s="10" t="s">
        <v>63</v>
      </c>
      <c r="F7" s="10" t="s">
        <v>64</v>
      </c>
      <c r="G7" s="21">
        <f>0.25*G6</f>
        <v>1.0125</v>
      </c>
    </row>
    <row r="8" spans="1:7" x14ac:dyDescent="0.25">
      <c r="A8" s="10" t="s">
        <v>67</v>
      </c>
      <c r="B8" s="10" t="s">
        <v>68</v>
      </c>
      <c r="C8" s="21">
        <f>0.45*(C6+C7)</f>
        <v>2.2781250000000002</v>
      </c>
      <c r="E8" s="10" t="s">
        <v>67</v>
      </c>
      <c r="F8" s="10" t="s">
        <v>68</v>
      </c>
      <c r="G8" s="21">
        <f>0.45*(G6+G7)</f>
        <v>2.2781250000000002</v>
      </c>
    </row>
    <row r="9" spans="1:7" x14ac:dyDescent="0.25">
      <c r="A9" s="48"/>
      <c r="B9" s="50"/>
      <c r="C9" s="17">
        <f>SUM(C6:C8)</f>
        <v>7.3406250000000002</v>
      </c>
      <c r="E9" s="48"/>
      <c r="F9" s="50"/>
      <c r="G9" s="17">
        <f>SUM(G6:G8)</f>
        <v>7.3406250000000002</v>
      </c>
    </row>
    <row r="10" spans="1:7" x14ac:dyDescent="0.25">
      <c r="A10" s="54" t="s">
        <v>82</v>
      </c>
      <c r="B10" s="54"/>
      <c r="C10" s="54"/>
      <c r="E10" s="54" t="s">
        <v>82</v>
      </c>
      <c r="F10" s="54"/>
      <c r="G10" s="54"/>
    </row>
    <row r="11" spans="1:7" x14ac:dyDescent="0.25">
      <c r="A11" s="10" t="s">
        <v>69</v>
      </c>
      <c r="B11" s="10" t="s">
        <v>70</v>
      </c>
      <c r="C11" s="23">
        <f>0.03*CAPEX!B34</f>
        <v>0.82095716495249538</v>
      </c>
      <c r="E11" s="10" t="s">
        <v>69</v>
      </c>
      <c r="F11" s="10" t="s">
        <v>70</v>
      </c>
      <c r="G11" s="23">
        <f>0.03*CAPEX!C34</f>
        <v>1.102717772183105</v>
      </c>
    </row>
    <row r="12" spans="1:7" x14ac:dyDescent="0.25">
      <c r="A12" s="54"/>
      <c r="B12" s="54"/>
      <c r="C12" s="29">
        <f>C11</f>
        <v>0.82095716495249538</v>
      </c>
      <c r="E12" s="54"/>
      <c r="F12" s="54"/>
      <c r="G12" s="29">
        <f>G11</f>
        <v>1.102717772183105</v>
      </c>
    </row>
    <row r="13" spans="1:7" x14ac:dyDescent="0.25">
      <c r="A13" s="48" t="s">
        <v>71</v>
      </c>
      <c r="B13" s="49"/>
      <c r="C13" s="50"/>
      <c r="E13" s="48" t="s">
        <v>71</v>
      </c>
      <c r="F13" s="49"/>
      <c r="G13" s="50"/>
    </row>
    <row r="14" spans="1:7" x14ac:dyDescent="0.25">
      <c r="A14" s="10" t="s">
        <v>72</v>
      </c>
      <c r="B14" s="10" t="s">
        <v>74</v>
      </c>
      <c r="C14" s="21">
        <f>0.65*(C6+C7+C8+C11)</f>
        <v>5.3050284072191225</v>
      </c>
      <c r="E14" s="10" t="s">
        <v>72</v>
      </c>
      <c r="F14" s="10" t="s">
        <v>74</v>
      </c>
      <c r="G14" s="21">
        <f>0.65*(G6+G7+G8+G11)</f>
        <v>5.4881728019190179</v>
      </c>
    </row>
    <row r="15" spans="1:7" x14ac:dyDescent="0.25">
      <c r="A15" s="10" t="s">
        <v>75</v>
      </c>
      <c r="B15" s="10" t="s">
        <v>77</v>
      </c>
      <c r="C15" s="21">
        <f>0.02*(CAPEX!B34+CAPEX!B35)</f>
        <v>0.71149620962549587</v>
      </c>
      <c r="E15" s="10" t="s">
        <v>75</v>
      </c>
      <c r="F15" s="10" t="s">
        <v>77</v>
      </c>
      <c r="G15" s="21">
        <f>0.02*(CAPEX!C34+CAPEX!C35)</f>
        <v>0.95568873589202441</v>
      </c>
    </row>
    <row r="16" spans="1:7" x14ac:dyDescent="0.25">
      <c r="A16" s="54"/>
      <c r="B16" s="54"/>
      <c r="C16" s="29">
        <f>SUM(C14:C15)</f>
        <v>6.0165246168446185</v>
      </c>
      <c r="E16" s="54"/>
      <c r="F16" s="54"/>
      <c r="G16" s="29">
        <f>SUM(G14:G15)</f>
        <v>6.443861537811042</v>
      </c>
    </row>
    <row r="17" spans="1:7" x14ac:dyDescent="0.25">
      <c r="A17" s="48" t="s">
        <v>78</v>
      </c>
      <c r="B17" s="49"/>
      <c r="C17" s="50"/>
      <c r="E17" s="48" t="s">
        <v>78</v>
      </c>
      <c r="F17" s="49"/>
      <c r="G17" s="50"/>
    </row>
    <row r="18" spans="1:7" x14ac:dyDescent="0.25">
      <c r="A18" s="10" t="s">
        <v>79</v>
      </c>
      <c r="B18" s="10" t="s">
        <v>80</v>
      </c>
      <c r="C18" s="23">
        <f>0.06*CAPEX!B39</f>
        <v>0.44824261206406252</v>
      </c>
      <c r="E18" s="10" t="s">
        <v>79</v>
      </c>
      <c r="F18" s="10" t="s">
        <v>80</v>
      </c>
      <c r="G18" s="23">
        <f>0.06*CAPEX!C39</f>
        <v>0.60208390361197539</v>
      </c>
    </row>
    <row r="19" spans="1:7" x14ac:dyDescent="0.25">
      <c r="A19" s="54"/>
      <c r="B19" s="54"/>
      <c r="C19" s="17">
        <f>C18</f>
        <v>0.44824261206406252</v>
      </c>
      <c r="E19" s="54"/>
      <c r="F19" s="54"/>
      <c r="G19" s="17">
        <f>G18</f>
        <v>0.60208390361197539</v>
      </c>
    </row>
    <row r="20" spans="1:7" x14ac:dyDescent="0.25">
      <c r="A20" s="48" t="s">
        <v>83</v>
      </c>
      <c r="B20" s="50"/>
      <c r="C20" s="17">
        <f>C9+C12+C16+C19</f>
        <v>14.626349393861176</v>
      </c>
      <c r="E20" s="48" t="s">
        <v>83</v>
      </c>
      <c r="F20" s="50"/>
      <c r="G20" s="17">
        <f>G9+G12+G16+G19</f>
        <v>15.489288213606121</v>
      </c>
    </row>
  </sheetData>
  <mergeCells count="20">
    <mergeCell ref="E20:F20"/>
    <mergeCell ref="E12:F12"/>
    <mergeCell ref="E13:G13"/>
    <mergeCell ref="E16:F16"/>
    <mergeCell ref="E17:G17"/>
    <mergeCell ref="E19:F19"/>
    <mergeCell ref="A3:C3"/>
    <mergeCell ref="E3:G3"/>
    <mergeCell ref="E5:G5"/>
    <mergeCell ref="E9:F9"/>
    <mergeCell ref="E10:G10"/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8"/>
  <sheetViews>
    <sheetView zoomScale="145" zoomScaleNormal="145" workbookViewId="0">
      <selection activeCell="K11" sqref="K11"/>
    </sheetView>
  </sheetViews>
  <sheetFormatPr defaultColWidth="8.85546875" defaultRowHeight="15" x14ac:dyDescent="0.25"/>
  <cols>
    <col min="1" max="1" width="8.85546875" style="11"/>
    <col min="2" max="2" width="19.85546875" style="11" bestFit="1" customWidth="1"/>
    <col min="3" max="3" width="8.28515625" style="11" bestFit="1" customWidth="1"/>
    <col min="4" max="4" width="10.140625" style="11" bestFit="1" customWidth="1"/>
    <col min="5" max="6" width="16.7109375" style="11" bestFit="1" customWidth="1"/>
    <col min="7" max="7" width="9.7109375" style="11" bestFit="1" customWidth="1"/>
    <col min="8" max="8" width="9.28515625" style="11" customWidth="1"/>
    <col min="9" max="16384" width="8.85546875" style="11"/>
  </cols>
  <sheetData>
    <row r="2" spans="2:11" x14ac:dyDescent="0.25">
      <c r="B2" s="1"/>
    </row>
    <row r="3" spans="2:11" x14ac:dyDescent="0.25">
      <c r="B3" s="13" t="s">
        <v>23</v>
      </c>
      <c r="C3" s="13" t="s">
        <v>29</v>
      </c>
      <c r="D3" s="13" t="s">
        <v>30</v>
      </c>
      <c r="E3" s="13" t="s">
        <v>108</v>
      </c>
      <c r="F3" s="13" t="s">
        <v>109</v>
      </c>
      <c r="G3" s="13" t="s">
        <v>87</v>
      </c>
      <c r="H3" s="13" t="s">
        <v>104</v>
      </c>
    </row>
    <row r="4" spans="2:11" x14ac:dyDescent="0.25">
      <c r="B4" s="48" t="s">
        <v>105</v>
      </c>
      <c r="C4" s="49"/>
      <c r="D4" s="49"/>
      <c r="E4" s="49"/>
      <c r="F4" s="49"/>
      <c r="G4" s="49"/>
      <c r="H4" s="49"/>
      <c r="I4" s="1"/>
    </row>
    <row r="5" spans="2:11" x14ac:dyDescent="0.25">
      <c r="B5" s="12" t="s">
        <v>102</v>
      </c>
      <c r="C5" s="12" t="s">
        <v>31</v>
      </c>
      <c r="D5" s="23">
        <v>0</v>
      </c>
      <c r="E5" s="43">
        <f>123.25*C17/C16</f>
        <v>124.14918753108937</v>
      </c>
      <c r="F5" s="42">
        <f>E5*C18/C17</f>
        <v>166.75841485657438</v>
      </c>
      <c r="G5" s="42">
        <f>D5*E5</f>
        <v>0</v>
      </c>
      <c r="H5" s="42">
        <f>D5*F5</f>
        <v>0</v>
      </c>
      <c r="I5" s="11">
        <f>G5/Summary!$C$23</f>
        <v>0</v>
      </c>
      <c r="J5" s="11">
        <f>H5/Summary!$C$23</f>
        <v>0</v>
      </c>
    </row>
    <row r="6" spans="2:11" x14ac:dyDescent="0.25">
      <c r="B6" s="12" t="s">
        <v>103</v>
      </c>
      <c r="C6" s="12" t="s">
        <v>31</v>
      </c>
      <c r="D6" s="27">
        <f>30690.5025430649/1000</f>
        <v>30.690502543064902</v>
      </c>
      <c r="E6" s="42">
        <v>465.07</v>
      </c>
      <c r="F6" s="42">
        <v>728.17</v>
      </c>
      <c r="G6" s="42">
        <f>D6*E6</f>
        <v>14273.232017703194</v>
      </c>
      <c r="H6" s="42">
        <f>D6*F6</f>
        <v>22347.903236783568</v>
      </c>
      <c r="I6" s="11">
        <f>G6/Summary!$C$23</f>
        <v>0.38061876855492022</v>
      </c>
      <c r="J6" s="11">
        <f>H6/Summary!$C$23</f>
        <v>0.59594290902151548</v>
      </c>
    </row>
    <row r="7" spans="2:11" x14ac:dyDescent="0.25">
      <c r="B7" s="41" t="s">
        <v>106</v>
      </c>
      <c r="C7" s="12" t="s">
        <v>31</v>
      </c>
      <c r="D7" s="27">
        <f>30690.5025430649/1000</f>
        <v>30.690502543064902</v>
      </c>
      <c r="E7" s="42">
        <v>1313.2</v>
      </c>
      <c r="F7" s="42">
        <v>1366.03</v>
      </c>
      <c r="G7" s="42">
        <f>D7*E7</f>
        <v>40302.767939552832</v>
      </c>
      <c r="H7" s="42">
        <f>D7*F7</f>
        <v>41924.147188902949</v>
      </c>
      <c r="I7" s="11">
        <f>G7/Summary!$C$23</f>
        <v>1.074738355228936</v>
      </c>
      <c r="J7" s="11">
        <f>H7/Summary!$C$23</f>
        <v>1.1179750497969718</v>
      </c>
    </row>
    <row r="8" spans="2:11" x14ac:dyDescent="0.25">
      <c r="B8" s="48" t="s">
        <v>107</v>
      </c>
      <c r="C8" s="49"/>
      <c r="D8" s="49"/>
      <c r="E8" s="49"/>
      <c r="F8" s="49"/>
      <c r="G8" s="49"/>
      <c r="H8" s="49"/>
    </row>
    <row r="9" spans="2:11" x14ac:dyDescent="0.25">
      <c r="B9" s="14" t="s">
        <v>24</v>
      </c>
      <c r="C9" s="14" t="s">
        <v>32</v>
      </c>
      <c r="D9" s="9">
        <f>169540876.710415/1000000</f>
        <v>169.54087671041501</v>
      </c>
      <c r="E9" s="40">
        <v>0.38</v>
      </c>
      <c r="F9" s="42">
        <f>E9*C18/C17</f>
        <v>0.51041975308641974</v>
      </c>
      <c r="G9" s="42">
        <f>D9*E9</f>
        <v>64.425533149957701</v>
      </c>
      <c r="H9" s="42">
        <f>D9*F9</f>
        <v>86.537012428585157</v>
      </c>
      <c r="I9" s="11">
        <f>G9/Summary!$C$23</f>
        <v>1.7180108233802135E-3</v>
      </c>
      <c r="J9" s="11">
        <f>H9/Summary!$C$23</f>
        <v>2.307649105972435E-3</v>
      </c>
      <c r="K9" s="11">
        <f>H9/Summary!$F$23</f>
        <v>2.307649105972435E-3</v>
      </c>
    </row>
    <row r="10" spans="2:11" x14ac:dyDescent="0.25">
      <c r="B10" s="14" t="s">
        <v>122</v>
      </c>
      <c r="C10" s="14" t="s">
        <v>31</v>
      </c>
      <c r="D10" s="9">
        <v>0</v>
      </c>
      <c r="E10" s="40">
        <v>67.83</v>
      </c>
      <c r="F10" s="42">
        <v>288.06</v>
      </c>
      <c r="G10" s="42">
        <f>D10*E10</f>
        <v>0</v>
      </c>
      <c r="H10" s="42">
        <f>D10*F10</f>
        <v>0</v>
      </c>
      <c r="I10" s="11">
        <f>G10/Summary!$C$23</f>
        <v>0</v>
      </c>
      <c r="J10" s="11">
        <f>H10/Summary!$C$23</f>
        <v>0</v>
      </c>
      <c r="K10" s="11">
        <f>H10/Summary!$F$23</f>
        <v>0</v>
      </c>
    </row>
    <row r="11" spans="2:11" x14ac:dyDescent="0.25">
      <c r="B11" s="14" t="s">
        <v>25</v>
      </c>
      <c r="C11" s="14" t="s">
        <v>33</v>
      </c>
      <c r="D11" s="31">
        <v>1885.3113149999999</v>
      </c>
      <c r="E11" s="40">
        <v>6.7830000000000001E-2</v>
      </c>
      <c r="F11" s="40">
        <v>8.5300000000000001E-2</v>
      </c>
      <c r="G11" s="42">
        <f>D11*E11</f>
        <v>127.88066649645</v>
      </c>
      <c r="H11" s="42">
        <f>D11*F11</f>
        <v>160.81705516950001</v>
      </c>
      <c r="I11" s="11">
        <f>G11/Summary!$C$23</f>
        <v>3.4101443697889026E-3</v>
      </c>
      <c r="J11" s="11">
        <f>H11/Summary!$C$23</f>
        <v>4.2884463326403272E-3</v>
      </c>
      <c r="K11" s="11">
        <f>H11/Summary!$F$23</f>
        <v>4.2884463326403272E-3</v>
      </c>
    </row>
    <row r="12" spans="2:11" x14ac:dyDescent="0.25">
      <c r="B12" s="4" t="s">
        <v>110</v>
      </c>
      <c r="C12" s="18" t="s">
        <v>37</v>
      </c>
      <c r="D12" s="16"/>
      <c r="E12" s="16"/>
      <c r="F12" s="19"/>
      <c r="G12" s="19">
        <f>(G5+G6+G9+G10+G11)/1000000*8000</f>
        <v>115.72430573879682</v>
      </c>
      <c r="H12" s="19">
        <f>(H5+H6+H9+H10+H11)/1000000*8000</f>
        <v>180.76205843505321</v>
      </c>
    </row>
    <row r="13" spans="2:11" x14ac:dyDescent="0.25">
      <c r="B13" s="36" t="s">
        <v>111</v>
      </c>
      <c r="C13" s="18" t="s">
        <v>37</v>
      </c>
      <c r="D13" s="16"/>
      <c r="E13" s="16"/>
      <c r="F13" s="19"/>
      <c r="G13" s="19">
        <f>(G5+G7+G9+G10+G11)/1000000*8000</f>
        <v>323.96059311359392</v>
      </c>
      <c r="H13" s="19">
        <f>(H5+H7+H9+H10+H11)/1000000*8000</f>
        <v>337.37201005200831</v>
      </c>
    </row>
    <row r="14" spans="2:11" x14ac:dyDescent="0.25">
      <c r="B14" s="15"/>
      <c r="C14" s="15"/>
      <c r="D14" s="15"/>
      <c r="E14" s="15"/>
      <c r="F14" s="15"/>
      <c r="G14" s="15"/>
      <c r="H14" s="15"/>
    </row>
    <row r="15" spans="2:11" x14ac:dyDescent="0.25">
      <c r="B15" s="28" t="s">
        <v>86</v>
      </c>
      <c r="C15" s="15"/>
      <c r="D15" s="15"/>
      <c r="E15" s="15"/>
      <c r="F15" s="15"/>
      <c r="G15" s="15"/>
      <c r="H15" s="15"/>
      <c r="K15"/>
    </row>
    <row r="16" spans="2:11" x14ac:dyDescent="0.25">
      <c r="B16" s="14" t="s">
        <v>85</v>
      </c>
      <c r="C16" s="23">
        <v>603.1</v>
      </c>
    </row>
    <row r="17" spans="2:3" x14ac:dyDescent="0.25">
      <c r="B17" s="14" t="s">
        <v>35</v>
      </c>
      <c r="C17" s="21">
        <v>607.5</v>
      </c>
    </row>
    <row r="18" spans="2:3" x14ac:dyDescent="0.25">
      <c r="B18" s="24" t="s">
        <v>93</v>
      </c>
      <c r="C18" s="21">
        <v>816</v>
      </c>
    </row>
  </sheetData>
  <mergeCells count="2">
    <mergeCell ref="B4:H4"/>
    <mergeCell ref="B8:H8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L31"/>
  <sheetViews>
    <sheetView tabSelected="1" zoomScaleNormal="100" workbookViewId="0">
      <selection activeCell="B16" sqref="B16"/>
    </sheetView>
  </sheetViews>
  <sheetFormatPr defaultRowHeight="15" x14ac:dyDescent="0.25"/>
  <cols>
    <col min="2" max="2" width="38.5703125" bestFit="1" customWidth="1"/>
    <col min="3" max="3" width="12.140625" bestFit="1" customWidth="1"/>
    <col min="5" max="5" width="36.5703125" bestFit="1" customWidth="1"/>
    <col min="6" max="6" width="12.5703125" bestFit="1" customWidth="1"/>
    <col min="8" max="8" width="36.5703125" bestFit="1" customWidth="1"/>
    <col min="9" max="9" width="12.140625" bestFit="1" customWidth="1"/>
    <col min="11" max="11" width="36.5703125" bestFit="1" customWidth="1"/>
    <col min="12" max="12" width="12.5703125" bestFit="1" customWidth="1"/>
  </cols>
  <sheetData>
    <row r="2" spans="2:12" x14ac:dyDescent="0.25">
      <c r="B2" s="54" t="s">
        <v>100</v>
      </c>
      <c r="C2" s="54"/>
      <c r="E2" s="54" t="s">
        <v>101</v>
      </c>
      <c r="F2" s="54"/>
      <c r="H2" s="54" t="s">
        <v>112</v>
      </c>
      <c r="I2" s="54"/>
      <c r="K2" s="54" t="s">
        <v>113</v>
      </c>
      <c r="L2" s="54"/>
    </row>
    <row r="3" spans="2:12" x14ac:dyDescent="0.25">
      <c r="B3" s="10" t="s">
        <v>62</v>
      </c>
      <c r="C3" s="21">
        <f>SUM(CAPEX!B30)</f>
        <v>7.3169087785427385</v>
      </c>
      <c r="E3" s="10" t="s">
        <v>95</v>
      </c>
      <c r="F3" s="21">
        <f>CAPEX!B31</f>
        <v>9.8281441371043208</v>
      </c>
      <c r="H3" s="10" t="s">
        <v>62</v>
      </c>
      <c r="I3" s="21">
        <f t="shared" ref="I3:I18" si="0">C3</f>
        <v>7.3169087785427385</v>
      </c>
      <c r="K3" s="10" t="s">
        <v>95</v>
      </c>
      <c r="L3" s="21">
        <f t="shared" ref="L3:L18" si="1">F3</f>
        <v>9.8281441371043208</v>
      </c>
    </row>
    <row r="4" spans="2:12" x14ac:dyDescent="0.25">
      <c r="B4" s="26" t="s">
        <v>54</v>
      </c>
      <c r="C4" s="21">
        <f>SUM(CAPEX!B34)</f>
        <v>27.365238831749846</v>
      </c>
      <c r="E4" s="26" t="s">
        <v>54</v>
      </c>
      <c r="F4" s="21">
        <f>CAPEX!C34</f>
        <v>36.757259072770168</v>
      </c>
      <c r="H4" s="26" t="s">
        <v>54</v>
      </c>
      <c r="I4" s="21">
        <f t="shared" si="0"/>
        <v>27.365238831749846</v>
      </c>
      <c r="K4" s="26" t="s">
        <v>54</v>
      </c>
      <c r="L4" s="21">
        <f t="shared" si="1"/>
        <v>36.757259072770168</v>
      </c>
    </row>
    <row r="5" spans="2:12" x14ac:dyDescent="0.25">
      <c r="B5" s="26" t="s">
        <v>55</v>
      </c>
      <c r="C5" s="21">
        <f>SUM(CAPEX!B35)</f>
        <v>8.2095716495249533</v>
      </c>
      <c r="E5" s="26" t="s">
        <v>55</v>
      </c>
      <c r="F5" s="21">
        <f>CAPEX!C35</f>
        <v>11.02717772183105</v>
      </c>
      <c r="H5" s="26" t="s">
        <v>55</v>
      </c>
      <c r="I5" s="21">
        <f t="shared" si="0"/>
        <v>8.2095716495249533</v>
      </c>
      <c r="K5" s="26" t="s">
        <v>55</v>
      </c>
      <c r="L5" s="21">
        <f t="shared" si="1"/>
        <v>11.02717772183105</v>
      </c>
    </row>
    <row r="6" spans="2:12" x14ac:dyDescent="0.25">
      <c r="B6" s="26" t="s">
        <v>76</v>
      </c>
      <c r="C6" s="21">
        <f>SUM(CAPEX!B36)</f>
        <v>10.672443144382438</v>
      </c>
      <c r="E6" s="26" t="s">
        <v>76</v>
      </c>
      <c r="F6" s="21">
        <f>CAPEX!C36</f>
        <v>14.335331038380366</v>
      </c>
      <c r="H6" s="26" t="s">
        <v>76</v>
      </c>
      <c r="I6" s="21">
        <f t="shared" si="0"/>
        <v>10.672443144382438</v>
      </c>
      <c r="K6" s="26" t="s">
        <v>76</v>
      </c>
      <c r="L6" s="21">
        <f t="shared" si="1"/>
        <v>14.335331038380366</v>
      </c>
    </row>
    <row r="7" spans="2:12" x14ac:dyDescent="0.25">
      <c r="B7" s="26" t="s">
        <v>57</v>
      </c>
      <c r="C7" s="21">
        <f>SUM(CAPEX!B37)</f>
        <v>3.5574810481274799</v>
      </c>
      <c r="E7" s="26" t="s">
        <v>57</v>
      </c>
      <c r="F7" s="21">
        <f>CAPEX!C37</f>
        <v>4.7784436794601222</v>
      </c>
      <c r="H7" s="26" t="s">
        <v>57</v>
      </c>
      <c r="I7" s="21">
        <f t="shared" si="0"/>
        <v>3.5574810481274799</v>
      </c>
      <c r="K7" s="26" t="s">
        <v>57</v>
      </c>
      <c r="L7" s="21">
        <f t="shared" si="1"/>
        <v>4.7784436794601222</v>
      </c>
    </row>
    <row r="8" spans="2:12" x14ac:dyDescent="0.25">
      <c r="B8" s="26" t="s">
        <v>58</v>
      </c>
      <c r="C8" s="21">
        <f>SUM(CAPEX!B38)</f>
        <v>49.804734673784729</v>
      </c>
      <c r="E8" s="26" t="s">
        <v>58</v>
      </c>
      <c r="F8" s="21">
        <f>CAPEX!C38</f>
        <v>66.898211512441719</v>
      </c>
      <c r="H8" s="26" t="s">
        <v>58</v>
      </c>
      <c r="I8" s="21">
        <f t="shared" si="0"/>
        <v>49.804734673784729</v>
      </c>
      <c r="K8" s="26" t="s">
        <v>58</v>
      </c>
      <c r="L8" s="21">
        <f t="shared" si="1"/>
        <v>66.898211512441719</v>
      </c>
    </row>
    <row r="9" spans="2:12" x14ac:dyDescent="0.25">
      <c r="B9" s="26" t="s">
        <v>61</v>
      </c>
      <c r="C9" s="21">
        <f>SUM(CAPEX!B39)</f>
        <v>7.4707102010677087</v>
      </c>
      <c r="E9" s="26" t="s">
        <v>61</v>
      </c>
      <c r="F9" s="21">
        <f>CAPEX!C39</f>
        <v>10.034731726866257</v>
      </c>
      <c r="H9" s="26" t="s">
        <v>61</v>
      </c>
      <c r="I9" s="21">
        <f t="shared" si="0"/>
        <v>7.4707102010677087</v>
      </c>
      <c r="K9" s="26" t="s">
        <v>61</v>
      </c>
      <c r="L9" s="21">
        <f t="shared" si="1"/>
        <v>10.034731726866257</v>
      </c>
    </row>
    <row r="10" spans="2:12" x14ac:dyDescent="0.25">
      <c r="B10" s="10" t="s">
        <v>59</v>
      </c>
      <c r="C10" s="21">
        <f>SUM(CAPEX!B40)</f>
        <v>57.27544487485244</v>
      </c>
      <c r="E10" s="10" t="s">
        <v>59</v>
      </c>
      <c r="F10" s="21">
        <f>CAPEX!C40</f>
        <v>76.932943239307974</v>
      </c>
      <c r="H10" s="10" t="s">
        <v>59</v>
      </c>
      <c r="I10" s="21">
        <f t="shared" si="0"/>
        <v>57.27544487485244</v>
      </c>
      <c r="K10" s="10" t="s">
        <v>59</v>
      </c>
      <c r="L10" s="21">
        <f t="shared" si="1"/>
        <v>76.932943239307974</v>
      </c>
    </row>
    <row r="11" spans="2:12" x14ac:dyDescent="0.25">
      <c r="B11" s="10" t="s">
        <v>81</v>
      </c>
      <c r="C11" s="21">
        <v>0</v>
      </c>
      <c r="E11" s="10" t="s">
        <v>81</v>
      </c>
      <c r="F11" s="21">
        <f>SUM('Production costs'!F9)</f>
        <v>0</v>
      </c>
      <c r="H11" s="10" t="s">
        <v>81</v>
      </c>
      <c r="I11" s="21">
        <f t="shared" si="0"/>
        <v>0</v>
      </c>
      <c r="K11" s="10" t="s">
        <v>81</v>
      </c>
      <c r="L11" s="21">
        <f t="shared" si="1"/>
        <v>0</v>
      </c>
    </row>
    <row r="12" spans="2:12" x14ac:dyDescent="0.25">
      <c r="B12" s="10" t="s">
        <v>82</v>
      </c>
      <c r="C12" s="21">
        <v>0</v>
      </c>
      <c r="E12" s="10" t="s">
        <v>82</v>
      </c>
      <c r="F12" s="21">
        <f>SUM('Production costs'!F12)</f>
        <v>0</v>
      </c>
      <c r="H12" s="10" t="s">
        <v>82</v>
      </c>
      <c r="I12" s="21">
        <f t="shared" si="0"/>
        <v>0</v>
      </c>
      <c r="K12" s="10" t="s">
        <v>82</v>
      </c>
      <c r="L12" s="21">
        <f t="shared" si="1"/>
        <v>0</v>
      </c>
    </row>
    <row r="13" spans="2:12" x14ac:dyDescent="0.25">
      <c r="B13" s="10" t="s">
        <v>71</v>
      </c>
      <c r="C13" s="21">
        <v>0</v>
      </c>
      <c r="E13" s="10" t="s">
        <v>71</v>
      </c>
      <c r="F13" s="21">
        <f>SUM('Production costs'!F16)</f>
        <v>0</v>
      </c>
      <c r="H13" s="10" t="s">
        <v>71</v>
      </c>
      <c r="I13" s="21">
        <f t="shared" si="0"/>
        <v>0</v>
      </c>
      <c r="K13" s="10" t="s">
        <v>71</v>
      </c>
      <c r="L13" s="21">
        <f t="shared" si="1"/>
        <v>0</v>
      </c>
    </row>
    <row r="14" spans="2:12" x14ac:dyDescent="0.25">
      <c r="B14" s="10" t="s">
        <v>78</v>
      </c>
      <c r="C14" s="21">
        <v>0</v>
      </c>
      <c r="E14" s="10" t="s">
        <v>78</v>
      </c>
      <c r="F14" s="21">
        <f>SUM('Production costs'!F19)</f>
        <v>0</v>
      </c>
      <c r="H14" s="10" t="s">
        <v>78</v>
      </c>
      <c r="I14" s="21">
        <f t="shared" si="0"/>
        <v>0</v>
      </c>
      <c r="K14" s="10" t="s">
        <v>78</v>
      </c>
      <c r="L14" s="21">
        <f t="shared" si="1"/>
        <v>0</v>
      </c>
    </row>
    <row r="15" spans="2:12" x14ac:dyDescent="0.25">
      <c r="B15" s="10" t="s">
        <v>26</v>
      </c>
      <c r="C15" s="21">
        <f>SUM(CAPEX!B41)</f>
        <v>25</v>
      </c>
      <c r="E15" s="10" t="s">
        <v>26</v>
      </c>
      <c r="F15" s="21">
        <v>25</v>
      </c>
      <c r="H15" s="10" t="s">
        <v>26</v>
      </c>
      <c r="I15" s="21">
        <f t="shared" si="0"/>
        <v>25</v>
      </c>
      <c r="K15" s="10" t="s">
        <v>26</v>
      </c>
      <c r="L15" s="21">
        <f t="shared" si="1"/>
        <v>25</v>
      </c>
    </row>
    <row r="16" spans="2:12" x14ac:dyDescent="0.25">
      <c r="B16" s="10" t="s">
        <v>27</v>
      </c>
      <c r="C16" s="21">
        <f>SUM(CAPEX!B42)</f>
        <v>0.12</v>
      </c>
      <c r="E16" s="10" t="s">
        <v>27</v>
      </c>
      <c r="F16" s="21">
        <v>0.12</v>
      </c>
      <c r="H16" s="10" t="s">
        <v>27</v>
      </c>
      <c r="I16" s="21">
        <f t="shared" si="0"/>
        <v>0.12</v>
      </c>
      <c r="K16" s="10" t="s">
        <v>27</v>
      </c>
      <c r="L16" s="21">
        <f t="shared" si="1"/>
        <v>0.12</v>
      </c>
    </row>
    <row r="17" spans="2:12" x14ac:dyDescent="0.25">
      <c r="B17" s="10" t="s">
        <v>28</v>
      </c>
      <c r="C17" s="20">
        <f>SUM(CAPEX!B43)</f>
        <v>0.12749996980950773</v>
      </c>
      <c r="E17" s="10" t="s">
        <v>28</v>
      </c>
      <c r="F17" s="20">
        <v>0.12749996980950773</v>
      </c>
      <c r="H17" s="10" t="s">
        <v>28</v>
      </c>
      <c r="I17" s="20">
        <f t="shared" si="0"/>
        <v>0.12749996980950773</v>
      </c>
      <c r="K17" s="10" t="s">
        <v>28</v>
      </c>
      <c r="L17" s="20">
        <f t="shared" si="1"/>
        <v>0.12749996980950773</v>
      </c>
    </row>
    <row r="18" spans="2:12" x14ac:dyDescent="0.25">
      <c r="B18" s="13" t="s">
        <v>36</v>
      </c>
      <c r="C18" s="17">
        <f>SUM(CAPEX!B45)</f>
        <v>7.3026174923698104</v>
      </c>
      <c r="E18" s="13" t="s">
        <v>36</v>
      </c>
      <c r="F18" s="17">
        <f>CAPEX!C45</f>
        <v>9.8089479403683377</v>
      </c>
      <c r="H18" s="13" t="s">
        <v>36</v>
      </c>
      <c r="I18" s="17">
        <f t="shared" si="0"/>
        <v>7.3026174923698104</v>
      </c>
      <c r="K18" s="13" t="s">
        <v>36</v>
      </c>
      <c r="L18" s="17">
        <f t="shared" si="1"/>
        <v>9.8089479403683377</v>
      </c>
    </row>
    <row r="19" spans="2:12" x14ac:dyDescent="0.25">
      <c r="B19" s="13" t="s">
        <v>99</v>
      </c>
      <c r="C19" s="17">
        <v>0</v>
      </c>
      <c r="E19" s="13" t="s">
        <v>99</v>
      </c>
      <c r="F19" s="17">
        <v>0</v>
      </c>
      <c r="H19" s="13" t="s">
        <v>99</v>
      </c>
      <c r="I19" s="17">
        <v>0</v>
      </c>
      <c r="K19" s="13" t="s">
        <v>99</v>
      </c>
      <c r="L19" s="17">
        <v>0</v>
      </c>
    </row>
    <row r="20" spans="2:12" x14ac:dyDescent="0.25">
      <c r="B20" s="13" t="s">
        <v>88</v>
      </c>
      <c r="C20" s="17">
        <f>OPEX!G12</f>
        <v>115.72430573879682</v>
      </c>
      <c r="E20" s="13" t="s">
        <v>88</v>
      </c>
      <c r="F20" s="17">
        <f>OPEX!H12</f>
        <v>180.76205843505321</v>
      </c>
      <c r="H20" s="13" t="s">
        <v>88</v>
      </c>
      <c r="I20" s="17">
        <f>OPEX!G13</f>
        <v>323.96059311359392</v>
      </c>
      <c r="K20" s="13" t="s">
        <v>88</v>
      </c>
      <c r="L20" s="17">
        <f>OPEX!H13</f>
        <v>337.37201005200831</v>
      </c>
    </row>
    <row r="21" spans="2:12" x14ac:dyDescent="0.25">
      <c r="B21" s="13" t="s">
        <v>98</v>
      </c>
      <c r="C21" s="17">
        <f>(C18+C19+C20)</f>
        <v>123.02692323116662</v>
      </c>
      <c r="E21" s="13" t="s">
        <v>98</v>
      </c>
      <c r="F21" s="17">
        <f>(F18+F19+F20)</f>
        <v>190.57100637542155</v>
      </c>
      <c r="H21" s="13" t="s">
        <v>98</v>
      </c>
      <c r="I21" s="17">
        <f>(I18+I19+I20)</f>
        <v>331.26321060596371</v>
      </c>
      <c r="K21" s="13" t="s">
        <v>98</v>
      </c>
      <c r="L21" s="17">
        <f>(L18+L19+L20)</f>
        <v>347.18095799237665</v>
      </c>
    </row>
    <row r="22" spans="2:12" x14ac:dyDescent="0.25">
      <c r="B22" s="13" t="s">
        <v>97</v>
      </c>
      <c r="C22" s="17">
        <f>(C21)*1000000/8000</f>
        <v>15378.365403895827</v>
      </c>
      <c r="E22" s="13" t="s">
        <v>97</v>
      </c>
      <c r="F22" s="17">
        <f>(F21)*1000000/8000</f>
        <v>23821.375796927696</v>
      </c>
      <c r="H22" s="13" t="s">
        <v>97</v>
      </c>
      <c r="I22" s="17">
        <f>(I21)*1000000/8000</f>
        <v>41407.901325745464</v>
      </c>
      <c r="K22" s="13" t="s">
        <v>97</v>
      </c>
      <c r="L22" s="17">
        <f>(L21)*1000000/8000</f>
        <v>43397.61974904708</v>
      </c>
    </row>
    <row r="23" spans="2:12" x14ac:dyDescent="0.25">
      <c r="B23" s="28" t="s">
        <v>96</v>
      </c>
      <c r="C23" s="17">
        <v>37500.074081721701</v>
      </c>
      <c r="E23" s="28" t="s">
        <v>96</v>
      </c>
      <c r="F23" s="17">
        <f>C23</f>
        <v>37500.074081721701</v>
      </c>
      <c r="H23" s="28" t="s">
        <v>96</v>
      </c>
      <c r="I23" s="17">
        <f>F23</f>
        <v>37500.074081721701</v>
      </c>
      <c r="K23" s="28" t="s">
        <v>96</v>
      </c>
      <c r="L23" s="17">
        <f>I23</f>
        <v>37500.074081721701</v>
      </c>
    </row>
    <row r="24" spans="2:12" x14ac:dyDescent="0.25">
      <c r="B24" s="30" t="s">
        <v>114</v>
      </c>
      <c r="C24" s="45">
        <f>C22/C23</f>
        <v>0.41008893396804125</v>
      </c>
      <c r="E24" s="30" t="s">
        <v>114</v>
      </c>
      <c r="F24" s="45">
        <f>F22/F23</f>
        <v>0.63523543300248353</v>
      </c>
      <c r="H24" s="30" t="s">
        <v>114</v>
      </c>
      <c r="I24" s="45">
        <f>I22/I23</f>
        <v>1.1042085206420571</v>
      </c>
      <c r="K24" s="30" t="s">
        <v>114</v>
      </c>
      <c r="L24" s="45">
        <f>L22/L23</f>
        <v>1.1572675737779399</v>
      </c>
    </row>
    <row r="26" spans="2:12" x14ac:dyDescent="0.25">
      <c r="F26" s="55">
        <f>OPEX!H6/Summary!F23</f>
        <v>0.59594290902151548</v>
      </c>
      <c r="I26">
        <f>I18*10^6/8000/I23</f>
        <v>2.4342010219951988E-2</v>
      </c>
      <c r="L26">
        <f>L18*10^6/8000/L23</f>
        <v>3.2696428542355264E-2</v>
      </c>
    </row>
    <row r="27" spans="2:12" x14ac:dyDescent="0.25">
      <c r="F27" s="55">
        <f>OPEX!H7/Summary!F23</f>
        <v>1.1179750497969718</v>
      </c>
    </row>
    <row r="28" spans="2:12" x14ac:dyDescent="0.25">
      <c r="F28" s="55">
        <f>F18*10^6/8000/F23</f>
        <v>3.2696428542355264E-2</v>
      </c>
    </row>
    <row r="29" spans="2:12" x14ac:dyDescent="0.25">
      <c r="F29" s="55"/>
    </row>
    <row r="30" spans="2:12" x14ac:dyDescent="0.25">
      <c r="F30" s="55"/>
    </row>
    <row r="31" spans="2:12" x14ac:dyDescent="0.25">
      <c r="F31" s="55"/>
    </row>
  </sheetData>
  <mergeCells count="4">
    <mergeCell ref="B2:C2"/>
    <mergeCell ref="E2:F2"/>
    <mergeCell ref="H2:I2"/>
    <mergeCell ref="K2:L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CAPEX</vt:lpstr>
      <vt:lpstr>Production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2025-01-06T09:07:36Z</dcterms:modified>
</cp:coreProperties>
</file>