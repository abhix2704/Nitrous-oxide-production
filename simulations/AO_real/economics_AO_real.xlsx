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_real\"/>
    </mc:Choice>
  </mc:AlternateContent>
  <xr:revisionPtr revIDLastSave="0" documentId="13_ncr:1_{09EE40C6-2CC1-454D-A89A-537B3C151F75}" xr6:coauthVersionLast="36" xr6:coauthVersionMax="36" xr10:uidLastSave="{00000000-0000-0000-0000-000000000000}"/>
  <bookViews>
    <workbookView xWindow="0" yWindow="0" windowWidth="17265" windowHeight="5775" activeTab="3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8" l="1"/>
  <c r="G11" i="8"/>
  <c r="G10" i="8"/>
  <c r="G8" i="8"/>
  <c r="G7" i="8"/>
  <c r="G6" i="8"/>
  <c r="E6" i="8" l="1"/>
  <c r="E11" i="8"/>
  <c r="D11" i="8"/>
  <c r="D10" i="8" l="1"/>
  <c r="D8" i="8"/>
  <c r="D7" i="8"/>
  <c r="D6" i="8"/>
  <c r="F8" i="8"/>
  <c r="H38" i="7"/>
  <c r="D38" i="7"/>
  <c r="D37" i="7"/>
  <c r="N17" i="7"/>
  <c r="O17" i="7"/>
  <c r="P17" i="7" s="1"/>
  <c r="N16" i="7"/>
  <c r="N15" i="7"/>
  <c r="D35" i="7"/>
  <c r="D34" i="7"/>
  <c r="N14" i="7"/>
  <c r="N13" i="7"/>
  <c r="H35" i="7"/>
  <c r="D32" i="7"/>
  <c r="H32" i="7" s="1"/>
  <c r="D31" i="7"/>
  <c r="H31" i="7" s="1"/>
  <c r="D30" i="7"/>
  <c r="H30" i="7" s="1"/>
  <c r="D29" i="7"/>
  <c r="H29" i="7" s="1"/>
  <c r="D28" i="7"/>
  <c r="H28" i="7" s="1"/>
  <c r="D27" i="7"/>
  <c r="H27" i="7" s="1"/>
  <c r="D26" i="7"/>
  <c r="H26" i="7" s="1"/>
  <c r="H25" i="7"/>
  <c r="D25" i="7"/>
  <c r="D24" i="7"/>
  <c r="H24" i="7" s="1"/>
  <c r="H23" i="7"/>
  <c r="D23" i="7"/>
  <c r="H20" i="7"/>
  <c r="Q17" i="7" l="1"/>
  <c r="S17" i="7" s="1"/>
  <c r="H19" i="7"/>
  <c r="H18" i="7"/>
  <c r="H15" i="7"/>
  <c r="F23" i="11" l="1"/>
  <c r="F11" i="8"/>
  <c r="E12" i="8"/>
  <c r="E10" i="8"/>
  <c r="O16" i="7"/>
  <c r="P16" i="7" s="1"/>
  <c r="Q16" i="7" l="1"/>
  <c r="S16" i="7" s="1"/>
  <c r="H37" i="7" s="1"/>
  <c r="D22" i="7" l="1"/>
  <c r="H22" i="7" s="1"/>
  <c r="H16" i="7" l="1"/>
  <c r="O14" i="7" l="1"/>
  <c r="P14" i="7" s="1"/>
  <c r="Q14" i="7" s="1"/>
  <c r="S14" i="7" s="1"/>
  <c r="D41" i="7" s="1"/>
  <c r="H41" i="7" s="1"/>
  <c r="H14" i="7"/>
  <c r="F17" i="11" l="1"/>
  <c r="F16" i="11"/>
  <c r="F15" i="11"/>
  <c r="F12" i="8"/>
  <c r="F5" i="8"/>
  <c r="F7" i="8"/>
  <c r="F6" i="8"/>
  <c r="F10" i="8" l="1"/>
  <c r="F14" i="8" s="1"/>
  <c r="F13" i="8" l="1"/>
  <c r="F20" i="11"/>
  <c r="C20" i="11"/>
  <c r="C14" i="11"/>
  <c r="F14" i="11" s="1"/>
  <c r="C13" i="11"/>
  <c r="F13" i="11" s="1"/>
  <c r="C12" i="11"/>
  <c r="F12" i="11" s="1"/>
  <c r="C11" i="11"/>
  <c r="F11" i="11" s="1"/>
  <c r="C6" i="12"/>
  <c r="C7" i="12" s="1"/>
  <c r="B59" i="7"/>
  <c r="C8" i="12" l="1"/>
  <c r="C9" i="12" s="1"/>
  <c r="O15" i="7" l="1"/>
  <c r="P15" i="7" s="1"/>
  <c r="Q15" i="7" s="1"/>
  <c r="S15" i="7" s="1"/>
  <c r="H34" i="7" l="1"/>
  <c r="O13" i="7" l="1"/>
  <c r="P13" i="7" s="1"/>
  <c r="Q13" i="7" s="1"/>
  <c r="S13" i="7" s="1"/>
  <c r="D40" i="7" s="1"/>
  <c r="H40" i="7" s="1"/>
  <c r="H42" i="7" s="1"/>
  <c r="B46" i="7" l="1"/>
  <c r="B47" i="7"/>
  <c r="B50" i="7" l="1"/>
  <c r="C3" i="11"/>
  <c r="F3" i="11" s="1"/>
  <c r="B54" i="7" l="1"/>
  <c r="B51" i="7"/>
  <c r="B53" i="7" s="1"/>
  <c r="C7" i="11" s="1"/>
  <c r="F7" i="11" s="1"/>
  <c r="C11" i="12"/>
  <c r="C4" i="11"/>
  <c r="F4" i="11" s="1"/>
  <c r="C15" i="12" l="1"/>
  <c r="B52" i="7"/>
  <c r="C6" i="11" s="1"/>
  <c r="F6" i="11" s="1"/>
  <c r="C5" i="11"/>
  <c r="F5" i="11" s="1"/>
  <c r="C12" i="12"/>
  <c r="C14" i="12"/>
  <c r="C16" i="12" s="1"/>
  <c r="B55" i="7"/>
  <c r="C8" i="11"/>
  <c r="F8" i="11" s="1"/>
  <c r="B56" i="7" l="1"/>
  <c r="C18" i="12"/>
  <c r="C19" i="12" s="1"/>
  <c r="C20" i="12" s="1"/>
  <c r="C9" i="11"/>
  <c r="F9" i="11" s="1"/>
  <c r="C10" i="11" l="1"/>
  <c r="F10" i="11" s="1"/>
  <c r="B60" i="7"/>
  <c r="B61" i="7" s="1"/>
  <c r="C18" i="11" s="1"/>
  <c r="F18" i="11" l="1"/>
  <c r="C21" i="11"/>
  <c r="C22" i="11" s="1"/>
  <c r="C24" i="11" s="1"/>
  <c r="F21" i="11" l="1"/>
  <c r="F22" i="11" s="1"/>
  <c r="F24" i="11" s="1"/>
</calcChain>
</file>

<file path=xl/sharedStrings.xml><?xml version="1.0" encoding="utf-8"?>
<sst xmlns="http://schemas.openxmlformats.org/spreadsheetml/2006/main" count="229" uniqueCount="143">
  <si>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</si>
  <si>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</si>
  <si>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</si>
  <si>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</si>
  <si>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</si>
  <si>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</si>
  <si>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</si>
  <si>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</si>
  <si>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</si>
  <si>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</si>
  <si>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</si>
  <si>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</si>
  <si>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</si>
  <si>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</si>
  <si>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</si>
  <si>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</si>
  <si>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</si>
  <si>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</si>
  <si>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</si>
  <si>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</si>
  <si>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</si>
  <si>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</si>
  <si>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</si>
  <si>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</si>
  <si>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</si>
  <si>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</si>
  <si>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</si>
  <si>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</si>
  <si>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</si>
  <si>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</si>
  <si>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</si>
  <si>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</si>
  <si>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</si>
  <si>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</si>
  <si>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</si>
  <si>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</si>
  <si>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</si>
  <si>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</si>
  <si>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</si>
  <si>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</si>
  <si>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</si>
  <si>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</si>
  <si>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</si>
  <si>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</si>
  <si>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</si>
  <si>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</si>
  <si>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V-100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</si>
  <si>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</si>
  <si>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</si>
  <si>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</si>
  <si>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</si>
  <si>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</si>
  <si>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</si>
  <si>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</si>
  <si>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</si>
  <si>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</si>
  <si>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</si>
  <si>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</si>
  <si>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</si>
  <si>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</si>
  <si>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</si>
  <si>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</si>
  <si>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</si>
  <si>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</si>
  <si>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</si>
  <si>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</si>
  <si>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</si>
  <si>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</si>
  <si>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</si>
  <si>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</si>
  <si>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</si>
  <si>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</si>
  <si>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</si>
  <si>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</si>
  <si>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</si>
  <si>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</si>
  <si>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</si>
  <si>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</si>
  <si>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</si>
  <si>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</si>
  <si>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</si>
  <si>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</si>
  <si>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</si>
  <si>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</si>
  <si>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</si>
  <si>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</si>
  <si>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</si>
  <si>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</si>
  <si>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</si>
  <si>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</si>
  <si>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</si>
  <si>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</si>
  <si>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</si>
  <si>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</si>
  <si>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</si>
  <si>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</si>
  <si>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</si>
  <si>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</si>
  <si>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2022</t>
  </si>
  <si>
    <t>Oxygen</t>
  </si>
  <si>
    <t>2022 costs</t>
  </si>
  <si>
    <t>Raw material costs</t>
  </si>
  <si>
    <t>Utility costs</t>
  </si>
  <si>
    <t>Price 2022 ($/unit)</t>
  </si>
  <si>
    <t>OPEX (fossil ammonia)</t>
  </si>
  <si>
    <t>OPEX (wind ammonia)</t>
  </si>
  <si>
    <t>Wind ammonia 2022</t>
  </si>
  <si>
    <t xml:space="preserve">Cost per kg </t>
  </si>
  <si>
    <t>Compressors</t>
  </si>
  <si>
    <t xml:space="preserve">Centrifugal Compressor </t>
  </si>
  <si>
    <t>Power, kW</t>
  </si>
  <si>
    <t>K-100</t>
  </si>
  <si>
    <t>K-101</t>
  </si>
  <si>
    <t>V-101</t>
  </si>
  <si>
    <t>E-105</t>
  </si>
  <si>
    <t>E-106</t>
  </si>
  <si>
    <t>E-107</t>
  </si>
  <si>
    <t>E-108</t>
  </si>
  <si>
    <t>E-109</t>
  </si>
  <si>
    <t>E-110</t>
  </si>
  <si>
    <t>E-111</t>
  </si>
  <si>
    <t>Structure</t>
  </si>
  <si>
    <t>Pressure Vessel</t>
  </si>
  <si>
    <t>Valve trays</t>
  </si>
  <si>
    <t>Tray</t>
  </si>
  <si>
    <t>diameter, m</t>
  </si>
  <si>
    <t>N stages</t>
  </si>
  <si>
    <t>K-102</t>
  </si>
  <si>
    <t>Pumps</t>
  </si>
  <si>
    <t>B24</t>
  </si>
  <si>
    <t>Centrifugal Pump</t>
  </si>
  <si>
    <t>Flow, litres/s</t>
  </si>
  <si>
    <t>E-112</t>
  </si>
  <si>
    <t>E-113</t>
  </si>
  <si>
    <t>E-114</t>
  </si>
  <si>
    <t>E-115</t>
  </si>
  <si>
    <t>B22 distillation column</t>
  </si>
  <si>
    <t>B22</t>
  </si>
  <si>
    <t>Hydrogen wind</t>
  </si>
  <si>
    <t>Hydrogen fossil</t>
  </si>
  <si>
    <t>Anthroquinone</t>
  </si>
  <si>
    <t>Natural gas for heating</t>
  </si>
  <si>
    <t>CEPCI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</si>
</sst>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3" xfId="0" applyNumberFormat="1" applyFont="1" applyBorder="1"/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4" fillId="0" borderId="0" xfId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3" xfId="0" applyNumberForma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zoomScale="145" zoomScaleNormal="145" workbookViewId="0">
      <selection activeCell="A21" sqref="A21:H21"/>
    </sheetView>
  </sheetViews>
  <sheetFormatPr defaultRowHeight="15" x14ac:dyDescent="0.25"/>
  <cols>
    <col min="1" max="1" width="27.85546875" bestFit="1" customWidth="1"/>
    <col min="2" max="2" width="21.140625" bestFit="1" customWidth="1"/>
    <col min="3" max="3" width="16.140625" bestFit="1" customWidth="1"/>
    <col min="4" max="4" width="9.5703125" style="31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10" max="10" width="11.140625" bestFit="1" customWidth="1"/>
    <col min="11" max="11" width="11.5703125" bestFit="1" customWidth="1"/>
    <col min="12" max="12" width="10.7109375" bestFit="1" customWidth="1"/>
    <col min="13" max="13" width="9.140625" bestFit="1" customWidth="1"/>
    <col min="14" max="14" width="5.7109375" bestFit="1" customWidth="1"/>
    <col min="15" max="15" width="8.28515625" bestFit="1" customWidth="1"/>
    <col min="16" max="16" width="7.28515625" bestFit="1" customWidth="1"/>
    <col min="17" max="17" width="8" bestFit="1" customWidth="1"/>
    <col min="18" max="18" width="7.85546875" bestFit="1" customWidth="1"/>
    <col min="19" max="19" width="8.28515625" bestFit="1" customWidth="1"/>
  </cols>
  <sheetData>
    <row r="1" spans="1:20" x14ac:dyDescent="0.25">
      <c r="A1" s="2" t="s">
        <v>0</v>
      </c>
      <c r="B1" s="3"/>
      <c r="C1" s="3"/>
    </row>
    <row r="2" spans="1:20" ht="18" x14ac:dyDescent="0.35">
      <c r="A2" s="3" t="s">
        <v>1</v>
      </c>
      <c r="B2" s="3" t="s">
        <v>38</v>
      </c>
      <c r="C2" s="3">
        <v>0.3</v>
      </c>
    </row>
    <row r="3" spans="1:20" ht="18" x14ac:dyDescent="0.35">
      <c r="A3" s="3" t="s">
        <v>2</v>
      </c>
      <c r="B3" s="3" t="s">
        <v>39</v>
      </c>
      <c r="C3" s="3">
        <v>0.8</v>
      </c>
    </row>
    <row r="4" spans="1:20" ht="18" x14ac:dyDescent="0.35">
      <c r="A4" s="3" t="s">
        <v>3</v>
      </c>
      <c r="B4" s="3" t="s">
        <v>40</v>
      </c>
      <c r="C4" s="3">
        <v>0.3</v>
      </c>
    </row>
    <row r="5" spans="1:20" ht="18" x14ac:dyDescent="0.35">
      <c r="A5" s="3" t="s">
        <v>4</v>
      </c>
      <c r="B5" s="3" t="s">
        <v>41</v>
      </c>
      <c r="C5" s="3">
        <v>0.2</v>
      </c>
    </row>
    <row r="6" spans="1:20" ht="18" x14ac:dyDescent="0.35">
      <c r="A6" s="3" t="s">
        <v>5</v>
      </c>
      <c r="B6" s="3" t="s">
        <v>42</v>
      </c>
      <c r="C6" s="3">
        <v>0.3</v>
      </c>
    </row>
    <row r="7" spans="1:20" ht="18" x14ac:dyDescent="0.35">
      <c r="A7" s="3" t="s">
        <v>6</v>
      </c>
      <c r="B7" s="3" t="s">
        <v>43</v>
      </c>
      <c r="C7" s="3">
        <v>0.2</v>
      </c>
    </row>
    <row r="8" spans="1:20" ht="18" x14ac:dyDescent="0.35">
      <c r="A8" s="3" t="s">
        <v>7</v>
      </c>
      <c r="B8" s="3" t="s">
        <v>44</v>
      </c>
      <c r="C8" s="3">
        <v>0.1</v>
      </c>
    </row>
    <row r="9" spans="1:20" ht="18" x14ac:dyDescent="0.35">
      <c r="A9" s="3" t="s">
        <v>8</v>
      </c>
      <c r="B9" s="3" t="s">
        <v>45</v>
      </c>
      <c r="C9" s="3">
        <v>1.3</v>
      </c>
    </row>
    <row r="10" spans="1:20" x14ac:dyDescent="0.25">
      <c r="A10" s="22"/>
      <c r="B10" s="22"/>
      <c r="C10" s="22"/>
    </row>
    <row r="12" spans="1:20" ht="63.75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L12" s="2" t="s">
        <v>22</v>
      </c>
      <c r="M12" s="5" t="s">
        <v>20</v>
      </c>
      <c r="N12" s="5" t="s">
        <v>17</v>
      </c>
      <c r="O12" s="5" t="s">
        <v>21</v>
      </c>
      <c r="P12" s="5" t="s">
        <v>47</v>
      </c>
      <c r="Q12" s="5" t="s">
        <v>16</v>
      </c>
      <c r="R12" s="5" t="s">
        <v>48</v>
      </c>
      <c r="S12" s="5" t="s">
        <v>18</v>
      </c>
      <c r="T12" s="5" t="s">
        <v>126</v>
      </c>
    </row>
    <row r="13" spans="1:20" x14ac:dyDescent="0.25">
      <c r="A13" s="51" t="s">
        <v>108</v>
      </c>
      <c r="B13" s="52"/>
      <c r="C13" s="52"/>
      <c r="D13" s="52"/>
      <c r="E13" s="52"/>
      <c r="F13" s="52"/>
      <c r="G13" s="52"/>
      <c r="H13" s="53"/>
      <c r="L13" s="33" t="s">
        <v>89</v>
      </c>
      <c r="M13" s="34">
        <v>1.9812000000000001</v>
      </c>
      <c r="N13" s="34">
        <f>7.3152+2*0.25*M13</f>
        <v>8.3057999999999996</v>
      </c>
      <c r="O13" s="37">
        <f t="shared" ref="O13" si="0">M13+0.0254</f>
        <v>2.0066000000000002</v>
      </c>
      <c r="P13" s="37">
        <f t="shared" ref="P13" si="1">PI()*(O13*O13-M13*M13)/4</f>
        <v>7.9553074218307346E-2</v>
      </c>
      <c r="Q13" s="37">
        <f t="shared" ref="Q13" si="2">P13*N13</f>
        <v>0.6607519238424171</v>
      </c>
      <c r="R13" s="35">
        <v>8000</v>
      </c>
      <c r="S13" s="34">
        <f t="shared" ref="S13" si="3">R13*Q13</f>
        <v>5286.0153907393369</v>
      </c>
      <c r="T13" s="6"/>
    </row>
    <row r="14" spans="1:20" x14ac:dyDescent="0.25">
      <c r="A14" s="6" t="s">
        <v>111</v>
      </c>
      <c r="B14" s="6" t="s">
        <v>109</v>
      </c>
      <c r="C14" s="6" t="s">
        <v>110</v>
      </c>
      <c r="D14" s="9">
        <v>761.73267999999996</v>
      </c>
      <c r="E14" s="8">
        <v>580000</v>
      </c>
      <c r="F14" s="8">
        <v>20000</v>
      </c>
      <c r="G14" s="9">
        <v>0.6</v>
      </c>
      <c r="H14" s="9">
        <f t="shared" ref="H14:H15" si="4">(E14+(F14*(D14^G14)))/1000000</f>
        <v>1.6517945604000279</v>
      </c>
      <c r="L14" s="33" t="s">
        <v>89</v>
      </c>
      <c r="M14" s="34">
        <v>2.1335999999999999</v>
      </c>
      <c r="N14" s="34">
        <f>7.9248+2*0.25*M14</f>
        <v>8.9916</v>
      </c>
      <c r="O14" s="37">
        <f t="shared" ref="O14" si="5">M14+0.0254</f>
        <v>2.1589999999999998</v>
      </c>
      <c r="P14" s="37">
        <f t="shared" ref="P14" si="6">PI()*(O14*O14-M14*M14)/4</f>
        <v>8.5633563967476248E-2</v>
      </c>
      <c r="Q14" s="37">
        <f t="shared" ref="Q14" si="7">P14*N14</f>
        <v>0.76998275376995939</v>
      </c>
      <c r="R14" s="35">
        <v>8000</v>
      </c>
      <c r="S14" s="34">
        <f t="shared" ref="S14" si="8">R14*Q14</f>
        <v>6159.8620301596748</v>
      </c>
      <c r="T14" s="6"/>
    </row>
    <row r="15" spans="1:20" x14ac:dyDescent="0.25">
      <c r="A15" s="6" t="s">
        <v>112</v>
      </c>
      <c r="B15" s="6" t="s">
        <v>109</v>
      </c>
      <c r="C15" s="6" t="s">
        <v>110</v>
      </c>
      <c r="D15" s="9">
        <v>1815.50208</v>
      </c>
      <c r="E15" s="8">
        <v>580000</v>
      </c>
      <c r="F15" s="8">
        <v>20000</v>
      </c>
      <c r="G15" s="9">
        <v>0.6</v>
      </c>
      <c r="H15" s="9">
        <f t="shared" si="4"/>
        <v>2.384795694070752</v>
      </c>
      <c r="L15" s="33" t="s">
        <v>46</v>
      </c>
      <c r="M15" s="34">
        <v>2.286</v>
      </c>
      <c r="N15" s="34">
        <f>7.0104+2*0.25*M15</f>
        <v>8.1533999999999995</v>
      </c>
      <c r="O15" s="37">
        <f t="shared" ref="O15:O16" si="9">M15+0.0254</f>
        <v>2.3113999999999999</v>
      </c>
      <c r="P15" s="37">
        <f t="shared" ref="P15:P16" si="10">PI()*(O15*O15-M15*M15)/4</f>
        <v>9.1714053716646884E-2</v>
      </c>
      <c r="Q15" s="37">
        <f t="shared" ref="Q15:Q16" si="11">P15*N15</f>
        <v>0.74778136557330865</v>
      </c>
      <c r="R15" s="35">
        <v>8000</v>
      </c>
      <c r="S15" s="34">
        <f t="shared" ref="S15:S16" si="12">R15*Q15</f>
        <v>5982.2509245864694</v>
      </c>
      <c r="T15" s="6"/>
    </row>
    <row r="16" spans="1:20" x14ac:dyDescent="0.25">
      <c r="A16" s="6" t="s">
        <v>127</v>
      </c>
      <c r="B16" s="6" t="s">
        <v>109</v>
      </c>
      <c r="C16" s="6" t="s">
        <v>110</v>
      </c>
      <c r="D16" s="9">
        <v>681.30459800000006</v>
      </c>
      <c r="E16" s="8">
        <v>580000</v>
      </c>
      <c r="F16" s="8">
        <v>20000</v>
      </c>
      <c r="G16" s="9">
        <v>0.6</v>
      </c>
      <c r="H16" s="9">
        <f t="shared" ref="H16" si="13">(E16+(F16*(D16^G16)))/1000000</f>
        <v>1.5823855273968663</v>
      </c>
      <c r="L16" s="33" t="s">
        <v>113</v>
      </c>
      <c r="M16" s="34">
        <v>1.6763999999999999</v>
      </c>
      <c r="N16" s="34">
        <f>5.1816+2*0.25*M16</f>
        <v>6.0198</v>
      </c>
      <c r="O16" s="37">
        <f t="shared" si="9"/>
        <v>1.7018</v>
      </c>
      <c r="P16" s="37">
        <f t="shared" si="10"/>
        <v>6.7392094719967474E-2</v>
      </c>
      <c r="Q16" s="37">
        <f t="shared" si="11"/>
        <v>0.40568693179526022</v>
      </c>
      <c r="R16" s="35">
        <v>8000</v>
      </c>
      <c r="S16" s="34">
        <f t="shared" si="12"/>
        <v>3245.4954543620815</v>
      </c>
      <c r="T16" s="47"/>
    </row>
    <row r="17" spans="1:20" x14ac:dyDescent="0.25">
      <c r="A17" s="51" t="s">
        <v>128</v>
      </c>
      <c r="B17" s="52"/>
      <c r="C17" s="52"/>
      <c r="D17" s="52"/>
      <c r="E17" s="52"/>
      <c r="F17" s="52"/>
      <c r="G17" s="52"/>
      <c r="H17" s="53"/>
      <c r="L17" s="33" t="s">
        <v>137</v>
      </c>
      <c r="M17" s="34">
        <v>1.3715999999999999</v>
      </c>
      <c r="N17" s="34">
        <f>0.6096*18</f>
        <v>10.972800000000001</v>
      </c>
      <c r="O17" s="37">
        <f t="shared" ref="O17" si="14">M17+0.0254</f>
        <v>1.397</v>
      </c>
      <c r="P17" s="37">
        <f t="shared" ref="P17" si="15">PI()*(O17*O17-M17*M17)/4</f>
        <v>5.5231115221627589E-2</v>
      </c>
      <c r="Q17" s="37">
        <f t="shared" ref="Q17" si="16">P17*N17</f>
        <v>0.60603998110387525</v>
      </c>
      <c r="R17" s="35">
        <v>8000</v>
      </c>
      <c r="S17" s="34">
        <f t="shared" ref="S17" si="17">R17*Q17</f>
        <v>4848.3198488310018</v>
      </c>
      <c r="T17" s="47">
        <v>10</v>
      </c>
    </row>
    <row r="18" spans="1:20" x14ac:dyDescent="0.25">
      <c r="A18" s="6" t="s">
        <v>129</v>
      </c>
      <c r="B18" s="6" t="s">
        <v>130</v>
      </c>
      <c r="C18" s="6" t="s">
        <v>131</v>
      </c>
      <c r="D18" s="9">
        <v>51.531635333333398</v>
      </c>
      <c r="E18" s="8">
        <v>8000</v>
      </c>
      <c r="F18" s="8">
        <v>240</v>
      </c>
      <c r="G18" s="9">
        <v>0.9</v>
      </c>
      <c r="H18" s="9">
        <f>(E18+(F18*(D18^G18)))/1000000</f>
        <v>1.6338304947555591E-2</v>
      </c>
    </row>
    <row r="19" spans="1:20" x14ac:dyDescent="0.25">
      <c r="A19" s="6" t="s">
        <v>129</v>
      </c>
      <c r="B19" s="6" t="s">
        <v>130</v>
      </c>
      <c r="C19" s="6" t="s">
        <v>131</v>
      </c>
      <c r="D19" s="9">
        <v>58.1831423333334</v>
      </c>
      <c r="E19" s="8">
        <v>8000</v>
      </c>
      <c r="F19" s="8">
        <v>240</v>
      </c>
      <c r="G19" s="9">
        <v>0.9</v>
      </c>
      <c r="H19" s="9">
        <f>(E19+(F19*(D19^G19)))/1000000</f>
        <v>1.7300979714866712E-2</v>
      </c>
    </row>
    <row r="20" spans="1:20" x14ac:dyDescent="0.25">
      <c r="A20" s="6" t="s">
        <v>129</v>
      </c>
      <c r="B20" s="6" t="s">
        <v>130</v>
      </c>
      <c r="C20" s="6" t="s">
        <v>131</v>
      </c>
      <c r="D20" s="50">
        <v>10.479687833333299</v>
      </c>
      <c r="E20" s="8">
        <v>8000</v>
      </c>
      <c r="F20" s="8">
        <v>240</v>
      </c>
      <c r="G20" s="9">
        <v>0.9</v>
      </c>
      <c r="H20" s="9">
        <f>(E20+(F20*(D20^G20)))/1000000</f>
        <v>9.9884961444861083E-3</v>
      </c>
    </row>
    <row r="21" spans="1:20" x14ac:dyDescent="0.25">
      <c r="A21" s="51" t="s">
        <v>87</v>
      </c>
      <c r="B21" s="52"/>
      <c r="C21" s="52"/>
      <c r="D21" s="52"/>
      <c r="E21" s="52"/>
      <c r="F21" s="52"/>
      <c r="G21" s="52"/>
      <c r="H21" s="53"/>
    </row>
    <row r="22" spans="1:20" x14ac:dyDescent="0.25">
      <c r="A22" s="6" t="s">
        <v>114</v>
      </c>
      <c r="B22" s="6" t="s">
        <v>49</v>
      </c>
      <c r="C22" s="6" t="s">
        <v>50</v>
      </c>
      <c r="D22" s="21">
        <f>I22/J22</f>
        <v>202.29610480523201</v>
      </c>
      <c r="E22" s="8">
        <v>28000</v>
      </c>
      <c r="F22" s="8">
        <v>54</v>
      </c>
      <c r="G22" s="9">
        <v>1.2</v>
      </c>
      <c r="H22" s="9">
        <f>(E22+(F22*(D22^G22)))/1000000*J22</f>
        <v>5.9592121026906579E-2</v>
      </c>
      <c r="I22" s="45">
        <v>202.29610480523201</v>
      </c>
      <c r="J22" s="46">
        <v>1</v>
      </c>
    </row>
    <row r="23" spans="1:20" x14ac:dyDescent="0.25">
      <c r="A23" s="6" t="s">
        <v>115</v>
      </c>
      <c r="B23" s="6" t="s">
        <v>49</v>
      </c>
      <c r="C23" s="6" t="s">
        <v>50</v>
      </c>
      <c r="D23" s="21">
        <f t="shared" ref="D23:D32" si="18">I23/J23</f>
        <v>164.07656709687799</v>
      </c>
      <c r="E23" s="8">
        <v>28000</v>
      </c>
      <c r="F23" s="8">
        <v>54</v>
      </c>
      <c r="G23" s="9">
        <v>1.2</v>
      </c>
      <c r="H23" s="9">
        <f t="shared" ref="H23:H32" si="19">(E23+(F23*(D23^G23)))/1000000*J23</f>
        <v>5.2572516360905819E-2</v>
      </c>
      <c r="I23" s="45">
        <v>164.07656709687799</v>
      </c>
      <c r="J23" s="46">
        <v>1</v>
      </c>
    </row>
    <row r="24" spans="1:20" x14ac:dyDescent="0.25">
      <c r="A24" s="6" t="s">
        <v>116</v>
      </c>
      <c r="B24" s="6" t="s">
        <v>49</v>
      </c>
      <c r="C24" s="6" t="s">
        <v>50</v>
      </c>
      <c r="D24" s="21">
        <f t="shared" si="18"/>
        <v>27.713131075025</v>
      </c>
      <c r="E24" s="8">
        <v>28000</v>
      </c>
      <c r="F24" s="8">
        <v>54</v>
      </c>
      <c r="G24" s="9">
        <v>1.2</v>
      </c>
      <c r="H24" s="9">
        <f t="shared" si="19"/>
        <v>3.0908147800498574E-2</v>
      </c>
      <c r="I24" s="45">
        <v>27.713131075025</v>
      </c>
      <c r="J24" s="46">
        <v>1</v>
      </c>
    </row>
    <row r="25" spans="1:20" x14ac:dyDescent="0.25">
      <c r="A25" s="6" t="s">
        <v>117</v>
      </c>
      <c r="B25" s="6" t="s">
        <v>49</v>
      </c>
      <c r="C25" s="6" t="s">
        <v>50</v>
      </c>
      <c r="D25" s="21">
        <f t="shared" si="18"/>
        <v>26.394716514242351</v>
      </c>
      <c r="E25" s="8">
        <v>28000</v>
      </c>
      <c r="F25" s="8">
        <v>54</v>
      </c>
      <c r="G25" s="9">
        <v>1.2</v>
      </c>
      <c r="H25" s="9">
        <f t="shared" si="19"/>
        <v>6.1485852896697918E-2</v>
      </c>
      <c r="I25" s="45">
        <v>52.789433028484702</v>
      </c>
      <c r="J25" s="46">
        <v>2</v>
      </c>
    </row>
    <row r="26" spans="1:20" x14ac:dyDescent="0.25">
      <c r="A26" s="6" t="s">
        <v>118</v>
      </c>
      <c r="B26" s="6" t="s">
        <v>49</v>
      </c>
      <c r="C26" s="6" t="s">
        <v>50</v>
      </c>
      <c r="D26" s="21">
        <f t="shared" si="18"/>
        <v>121.18730811706</v>
      </c>
      <c r="E26" s="8">
        <v>28000</v>
      </c>
      <c r="F26" s="8">
        <v>54</v>
      </c>
      <c r="G26" s="9">
        <v>1.2</v>
      </c>
      <c r="H26" s="9">
        <f t="shared" si="19"/>
        <v>4.5082141945741908E-2</v>
      </c>
      <c r="I26" s="45">
        <v>121.18730811706</v>
      </c>
      <c r="J26" s="46">
        <v>1</v>
      </c>
    </row>
    <row r="27" spans="1:20" x14ac:dyDescent="0.25">
      <c r="A27" s="6" t="s">
        <v>119</v>
      </c>
      <c r="B27" s="6" t="s">
        <v>49</v>
      </c>
      <c r="C27" s="6" t="s">
        <v>50</v>
      </c>
      <c r="D27" s="21">
        <f t="shared" si="18"/>
        <v>42.684093984215103</v>
      </c>
      <c r="E27" s="8">
        <v>28000</v>
      </c>
      <c r="F27" s="8">
        <v>54</v>
      </c>
      <c r="G27" s="9">
        <v>1.2</v>
      </c>
      <c r="H27" s="9">
        <f t="shared" si="19"/>
        <v>6.5766591798832666E-2</v>
      </c>
      <c r="I27" s="45">
        <v>85.368187968430206</v>
      </c>
      <c r="J27" s="46">
        <v>2</v>
      </c>
    </row>
    <row r="28" spans="1:20" x14ac:dyDescent="0.25">
      <c r="A28" s="6" t="s">
        <v>120</v>
      </c>
      <c r="B28" s="6" t="s">
        <v>49</v>
      </c>
      <c r="C28" s="6" t="s">
        <v>50</v>
      </c>
      <c r="D28" s="21">
        <f t="shared" si="18"/>
        <v>147.26617705337199</v>
      </c>
      <c r="E28" s="8">
        <v>28000</v>
      </c>
      <c r="F28" s="8">
        <v>54</v>
      </c>
      <c r="G28" s="9">
        <v>1.2</v>
      </c>
      <c r="H28" s="9">
        <f t="shared" si="19"/>
        <v>9.9166553088392756E-2</v>
      </c>
      <c r="I28" s="45">
        <v>294.53235410674398</v>
      </c>
      <c r="J28" s="46">
        <v>2</v>
      </c>
    </row>
    <row r="29" spans="1:20" x14ac:dyDescent="0.25">
      <c r="A29" s="6" t="s">
        <v>132</v>
      </c>
      <c r="B29" s="6" t="s">
        <v>49</v>
      </c>
      <c r="C29" s="6" t="s">
        <v>50</v>
      </c>
      <c r="D29" s="21">
        <f t="shared" si="18"/>
        <v>2.5915630185765202</v>
      </c>
      <c r="E29" s="8">
        <v>28000</v>
      </c>
      <c r="F29" s="8">
        <v>54</v>
      </c>
      <c r="G29" s="9">
        <v>1.2</v>
      </c>
      <c r="H29" s="9">
        <f t="shared" si="19"/>
        <v>2.8169304261054171E-2</v>
      </c>
      <c r="I29" s="45">
        <v>2.5915630185765202</v>
      </c>
      <c r="J29" s="46">
        <v>1</v>
      </c>
    </row>
    <row r="30" spans="1:20" x14ac:dyDescent="0.25">
      <c r="A30" s="6" t="s">
        <v>133</v>
      </c>
      <c r="B30" s="6" t="s">
        <v>49</v>
      </c>
      <c r="C30" s="6" t="s">
        <v>50</v>
      </c>
      <c r="D30" s="21">
        <f t="shared" si="18"/>
        <v>301.98731023926302</v>
      </c>
      <c r="E30" s="8">
        <v>28000</v>
      </c>
      <c r="F30" s="8">
        <v>54</v>
      </c>
      <c r="G30" s="9">
        <v>1.2</v>
      </c>
      <c r="H30" s="9">
        <f t="shared" si="19"/>
        <v>0.15819042096419975</v>
      </c>
      <c r="I30" s="45">
        <v>603.97462047852605</v>
      </c>
      <c r="J30" s="46">
        <v>2</v>
      </c>
    </row>
    <row r="31" spans="1:20" x14ac:dyDescent="0.25">
      <c r="A31" s="49" t="s">
        <v>134</v>
      </c>
      <c r="B31" s="6" t="s">
        <v>49</v>
      </c>
      <c r="C31" s="6" t="s">
        <v>50</v>
      </c>
      <c r="D31" s="21">
        <f t="shared" si="18"/>
        <v>309.86768205008798</v>
      </c>
      <c r="E31" s="8">
        <v>28000</v>
      </c>
      <c r="F31" s="8">
        <v>54</v>
      </c>
      <c r="G31" s="9">
        <v>1.2</v>
      </c>
      <c r="H31" s="9">
        <f t="shared" si="19"/>
        <v>8.0699355016634333E-2</v>
      </c>
      <c r="I31" s="45">
        <v>309.86768205008798</v>
      </c>
      <c r="J31" s="46">
        <v>1</v>
      </c>
    </row>
    <row r="32" spans="1:20" x14ac:dyDescent="0.25">
      <c r="A32" s="49" t="s">
        <v>135</v>
      </c>
      <c r="B32" s="6" t="s">
        <v>49</v>
      </c>
      <c r="C32" s="6" t="s">
        <v>50</v>
      </c>
      <c r="D32" s="21">
        <f t="shared" si="18"/>
        <v>201.762696048316</v>
      </c>
      <c r="E32" s="8">
        <v>28000</v>
      </c>
      <c r="F32" s="8">
        <v>54</v>
      </c>
      <c r="G32" s="9">
        <v>1.2</v>
      </c>
      <c r="H32" s="9">
        <f t="shared" si="19"/>
        <v>0.1189843718581942</v>
      </c>
      <c r="I32" s="45">
        <v>403.525392096632</v>
      </c>
      <c r="J32" s="46">
        <v>2</v>
      </c>
    </row>
    <row r="33" spans="1:8" x14ac:dyDescent="0.25">
      <c r="A33" s="54" t="s">
        <v>51</v>
      </c>
      <c r="B33" s="55"/>
      <c r="C33" s="55"/>
      <c r="D33" s="55"/>
      <c r="E33" s="55"/>
      <c r="F33" s="55"/>
      <c r="G33" s="55"/>
      <c r="H33" s="56"/>
    </row>
    <row r="34" spans="1:8" x14ac:dyDescent="0.25">
      <c r="A34" s="7" t="s">
        <v>89</v>
      </c>
      <c r="B34" s="6" t="s">
        <v>88</v>
      </c>
      <c r="C34" s="6" t="s">
        <v>52</v>
      </c>
      <c r="D34" s="9">
        <f>S13</f>
        <v>5286.0153907393369</v>
      </c>
      <c r="E34" s="8">
        <v>17400</v>
      </c>
      <c r="F34" s="8">
        <v>79</v>
      </c>
      <c r="G34" s="9">
        <v>0.85</v>
      </c>
      <c r="H34" s="9">
        <f>(E34+(F34*(D34^G34)))/1000000</f>
        <v>0.13282137696322205</v>
      </c>
    </row>
    <row r="35" spans="1:8" x14ac:dyDescent="0.25">
      <c r="A35" s="7" t="s">
        <v>89</v>
      </c>
      <c r="B35" s="6" t="s">
        <v>88</v>
      </c>
      <c r="C35" s="6" t="s">
        <v>52</v>
      </c>
      <c r="D35" s="9">
        <f>S14</f>
        <v>6159.8620301596748</v>
      </c>
      <c r="E35" s="8">
        <v>17400</v>
      </c>
      <c r="F35" s="8">
        <v>79</v>
      </c>
      <c r="G35" s="9">
        <v>0.85</v>
      </c>
      <c r="H35" s="9">
        <f>(E35+(F35*(D35^G35)))/1000000</f>
        <v>0.14885055631046815</v>
      </c>
    </row>
    <row r="36" spans="1:8" x14ac:dyDescent="0.25">
      <c r="A36" s="51" t="s">
        <v>136</v>
      </c>
      <c r="B36" s="52"/>
      <c r="C36" s="52"/>
      <c r="D36" s="52"/>
      <c r="E36" s="52"/>
      <c r="F36" s="52"/>
      <c r="G36" s="52"/>
      <c r="H36" s="53"/>
    </row>
    <row r="37" spans="1:8" x14ac:dyDescent="0.25">
      <c r="A37" s="6" t="s">
        <v>121</v>
      </c>
      <c r="B37" s="6" t="s">
        <v>122</v>
      </c>
      <c r="C37" s="6" t="s">
        <v>52</v>
      </c>
      <c r="D37" s="9">
        <f>S17</f>
        <v>4848.3198488310018</v>
      </c>
      <c r="E37" s="8">
        <v>17400</v>
      </c>
      <c r="F37" s="8">
        <v>79</v>
      </c>
      <c r="G37" s="9">
        <v>0.85</v>
      </c>
      <c r="H37" s="9">
        <f t="shared" ref="H37" si="20">(E37+(F37*(D37^G37)))/1000000</f>
        <v>0.12464564482892661</v>
      </c>
    </row>
    <row r="38" spans="1:8" x14ac:dyDescent="0.25">
      <c r="A38" s="6" t="s">
        <v>123</v>
      </c>
      <c r="B38" s="6" t="s">
        <v>124</v>
      </c>
      <c r="C38" s="6" t="s">
        <v>125</v>
      </c>
      <c r="D38" s="9">
        <f>M17</f>
        <v>1.3715999999999999</v>
      </c>
      <c r="E38" s="8">
        <v>210</v>
      </c>
      <c r="F38" s="8">
        <v>400</v>
      </c>
      <c r="G38" s="9">
        <v>1.9</v>
      </c>
      <c r="H38" s="9">
        <f>(E38+(F38*(D38^G38)))*T17/1000000</f>
        <v>9.3910855920900562E-3</v>
      </c>
    </row>
    <row r="39" spans="1:8" x14ac:dyDescent="0.25">
      <c r="A39" s="51" t="s">
        <v>90</v>
      </c>
      <c r="B39" s="52"/>
      <c r="C39" s="52"/>
      <c r="D39" s="52"/>
      <c r="E39" s="52"/>
      <c r="F39" s="52"/>
      <c r="G39" s="52"/>
      <c r="H39" s="53"/>
    </row>
    <row r="40" spans="1:8" x14ac:dyDescent="0.25">
      <c r="A40" s="6" t="s">
        <v>46</v>
      </c>
      <c r="B40" s="6" t="s">
        <v>88</v>
      </c>
      <c r="C40" s="6" t="s">
        <v>52</v>
      </c>
      <c r="D40" s="9">
        <f>S13</f>
        <v>5286.0153907393369</v>
      </c>
      <c r="E40" s="8">
        <v>17400</v>
      </c>
      <c r="F40" s="8">
        <v>79</v>
      </c>
      <c r="G40" s="9">
        <v>0.85</v>
      </c>
      <c r="H40" s="9">
        <f>(E40+(F40*(D40^G40)))/1000000</f>
        <v>0.13282137696322205</v>
      </c>
    </row>
    <row r="41" spans="1:8" x14ac:dyDescent="0.25">
      <c r="A41" s="6" t="s">
        <v>113</v>
      </c>
      <c r="B41" s="6" t="s">
        <v>88</v>
      </c>
      <c r="C41" s="6" t="s">
        <v>52</v>
      </c>
      <c r="D41" s="9">
        <f>S14</f>
        <v>6159.8620301596748</v>
      </c>
      <c r="E41" s="8">
        <v>17400</v>
      </c>
      <c r="F41" s="8">
        <v>79</v>
      </c>
      <c r="G41" s="9">
        <v>0.85</v>
      </c>
      <c r="H41" s="9">
        <f t="shared" ref="H41" si="21">(E41+(F41*(D41^G41)))/1000000</f>
        <v>0.14885055631046815</v>
      </c>
    </row>
    <row r="42" spans="1:8" x14ac:dyDescent="0.25">
      <c r="H42" s="38">
        <f>SUM(H14:H41)</f>
        <v>7.1606015366610096</v>
      </c>
    </row>
    <row r="43" spans="1:8" x14ac:dyDescent="0.25">
      <c r="A43" s="24" t="s">
        <v>34</v>
      </c>
      <c r="B43" s="21">
        <v>532.9</v>
      </c>
    </row>
    <row r="44" spans="1:8" x14ac:dyDescent="0.25">
      <c r="A44" s="24" t="s">
        <v>35</v>
      </c>
      <c r="B44" s="21">
        <v>607.5</v>
      </c>
    </row>
    <row r="45" spans="1:8" x14ac:dyDescent="0.25">
      <c r="A45" s="24" t="s">
        <v>91</v>
      </c>
      <c r="B45" s="21">
        <v>816</v>
      </c>
    </row>
    <row r="46" spans="1:8" x14ac:dyDescent="0.25">
      <c r="A46" s="24" t="s">
        <v>53</v>
      </c>
      <c r="B46" s="21">
        <f>H42*B44/B43</f>
        <v>8.1630051295206663</v>
      </c>
    </row>
    <row r="47" spans="1:8" x14ac:dyDescent="0.25">
      <c r="A47" s="24" t="s">
        <v>92</v>
      </c>
      <c r="B47" s="21">
        <f>H42*B45/B43</f>
        <v>10.964629112245044</v>
      </c>
    </row>
    <row r="48" spans="1:8" x14ac:dyDescent="0.25">
      <c r="A48" s="39"/>
      <c r="B48" s="32"/>
    </row>
    <row r="49" spans="1:14" x14ac:dyDescent="0.25">
      <c r="B49" s="36">
        <v>2022</v>
      </c>
      <c r="C49" s="31"/>
      <c r="D49"/>
    </row>
    <row r="50" spans="1:14" x14ac:dyDescent="0.25">
      <c r="A50" s="26" t="s">
        <v>54</v>
      </c>
      <c r="B50" s="40">
        <f>(B47)*((1+C3)+(C2+C5+C4+C6+C7+C8)/C9)*C9</f>
        <v>41.007712879796472</v>
      </c>
      <c r="C50" s="31"/>
      <c r="D50"/>
    </row>
    <row r="51" spans="1:14" x14ac:dyDescent="0.25">
      <c r="A51" s="26" t="s">
        <v>55</v>
      </c>
      <c r="B51" s="40">
        <f>0.3*B50</f>
        <v>12.302313863938942</v>
      </c>
      <c r="C51" s="31"/>
      <c r="D51"/>
      <c r="N51" s="43"/>
    </row>
    <row r="52" spans="1:14" x14ac:dyDescent="0.25">
      <c r="A52" s="26" t="s">
        <v>56</v>
      </c>
      <c r="B52" s="40">
        <f>0.3*SUM(B50:B51)</f>
        <v>15.993008023120623</v>
      </c>
      <c r="D52"/>
    </row>
    <row r="53" spans="1:14" x14ac:dyDescent="0.25">
      <c r="A53" s="26" t="s">
        <v>57</v>
      </c>
      <c r="B53" s="40">
        <f>0.1*SUM(B50:B51)</f>
        <v>5.3310026743735417</v>
      </c>
      <c r="D53"/>
    </row>
    <row r="54" spans="1:14" x14ac:dyDescent="0.25">
      <c r="A54" s="26" t="s">
        <v>58</v>
      </c>
      <c r="B54" s="40">
        <f>B50*(1+0.3)*(1+0.3+0.1)</f>
        <v>74.63403744122958</v>
      </c>
      <c r="D54"/>
    </row>
    <row r="55" spans="1:14" x14ac:dyDescent="0.25">
      <c r="A55" s="26" t="s">
        <v>61</v>
      </c>
      <c r="B55" s="40">
        <f>B54*0.15</f>
        <v>11.195105616184437</v>
      </c>
      <c r="D55"/>
    </row>
    <row r="56" spans="1:14" x14ac:dyDescent="0.25">
      <c r="A56" s="26" t="s">
        <v>59</v>
      </c>
      <c r="B56" s="40">
        <f>B54+B55</f>
        <v>85.829143057414015</v>
      </c>
      <c r="D56"/>
    </row>
    <row r="57" spans="1:14" x14ac:dyDescent="0.25">
      <c r="A57" s="26" t="s">
        <v>26</v>
      </c>
      <c r="B57" s="40">
        <v>25</v>
      </c>
      <c r="C57" s="31"/>
      <c r="D57"/>
    </row>
    <row r="58" spans="1:14" x14ac:dyDescent="0.25">
      <c r="A58" s="26" t="s">
        <v>27</v>
      </c>
      <c r="B58" s="40">
        <v>0.12</v>
      </c>
      <c r="C58" s="31"/>
      <c r="D58"/>
    </row>
    <row r="59" spans="1:14" x14ac:dyDescent="0.25">
      <c r="A59" s="26" t="s">
        <v>28</v>
      </c>
      <c r="B59" s="40">
        <f>(B58*((1+B58)^B57))/(((1+B58)^B57)-1)</f>
        <v>0.12749996980950773</v>
      </c>
      <c r="C59" s="31"/>
      <c r="D59"/>
    </row>
    <row r="60" spans="1:14" x14ac:dyDescent="0.25">
      <c r="A60" s="26" t="s">
        <v>60</v>
      </c>
      <c r="B60" s="40">
        <f>B59*B56</f>
        <v>10.943213148596207</v>
      </c>
      <c r="C60" s="31"/>
      <c r="D60"/>
    </row>
    <row r="61" spans="1:14" x14ac:dyDescent="0.25">
      <c r="A61" s="25" t="s">
        <v>36</v>
      </c>
      <c r="B61" s="19">
        <f>B60</f>
        <v>10.943213148596207</v>
      </c>
      <c r="C61" s="31"/>
      <c r="D61"/>
    </row>
    <row r="98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</sheetData>
  <mergeCells count="6">
    <mergeCell ref="A21:H21"/>
    <mergeCell ref="A33:H33"/>
    <mergeCell ref="A39:H39"/>
    <mergeCell ref="A13:H13"/>
    <mergeCell ref="A36:H36"/>
    <mergeCell ref="A17:H17"/>
  </mergeCells>
  <conditionalFormatting sqref="I22:I30">
    <cfRule type="cellIs" dxfId="1" priority="4" operator="lessThanOrEqual">
      <formula>1000</formula>
    </cfRule>
  </conditionalFormatting>
  <conditionalFormatting sqref="I31:I32">
    <cfRule type="cellIs" dxfId="0" priority="1" operator="lessThanOrEqual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20"/>
  <sheetViews>
    <sheetView zoomScale="115" zoomScaleNormal="115" workbookViewId="0">
      <selection activeCell="B25" sqref="B25"/>
    </sheetView>
  </sheetViews>
  <sheetFormatPr defaultRowHeight="15" x14ac:dyDescent="0.25"/>
  <cols>
    <col min="1" max="1" width="15.28515625" customWidth="1"/>
    <col min="2" max="2" width="30.42578125" bestFit="1" customWidth="1"/>
    <col min="3" max="3" width="8.5703125" bestFit="1" customWidth="1"/>
  </cols>
  <sheetData>
    <row r="3" spans="1:3" x14ac:dyDescent="0.25">
      <c r="A3" s="57">
        <v>2022</v>
      </c>
      <c r="B3" s="57"/>
      <c r="C3" s="57"/>
    </row>
    <row r="4" spans="1:3" x14ac:dyDescent="0.25">
      <c r="A4" s="36" t="s">
        <v>64</v>
      </c>
      <c r="B4" s="36" t="s">
        <v>65</v>
      </c>
      <c r="C4" s="13" t="s">
        <v>37</v>
      </c>
    </row>
    <row r="5" spans="1:3" x14ac:dyDescent="0.25">
      <c r="A5" s="57" t="s">
        <v>80</v>
      </c>
      <c r="B5" s="57"/>
      <c r="C5" s="57"/>
    </row>
    <row r="6" spans="1:3" x14ac:dyDescent="0.25">
      <c r="A6" s="10" t="s">
        <v>72</v>
      </c>
      <c r="B6" s="10" t="s">
        <v>83</v>
      </c>
      <c r="C6" s="10">
        <f>50000*9*9/1000000</f>
        <v>4.05</v>
      </c>
    </row>
    <row r="7" spans="1:3" x14ac:dyDescent="0.25">
      <c r="A7" s="10" t="s">
        <v>62</v>
      </c>
      <c r="B7" s="10" t="s">
        <v>63</v>
      </c>
      <c r="C7" s="21">
        <f>0.25*C6</f>
        <v>1.0125</v>
      </c>
    </row>
    <row r="8" spans="1:3" x14ac:dyDescent="0.25">
      <c r="A8" s="10" t="s">
        <v>66</v>
      </c>
      <c r="B8" s="10" t="s">
        <v>67</v>
      </c>
      <c r="C8" s="21">
        <f>0.45*(C6+C7)</f>
        <v>2.2781250000000002</v>
      </c>
    </row>
    <row r="9" spans="1:3" x14ac:dyDescent="0.25">
      <c r="A9" s="51"/>
      <c r="B9" s="53"/>
      <c r="C9" s="17">
        <f>SUM(C6:C8)</f>
        <v>7.3406250000000002</v>
      </c>
    </row>
    <row r="10" spans="1:3" x14ac:dyDescent="0.25">
      <c r="A10" s="57" t="s">
        <v>81</v>
      </c>
      <c r="B10" s="57"/>
      <c r="C10" s="57"/>
    </row>
    <row r="11" spans="1:3" x14ac:dyDescent="0.25">
      <c r="A11" s="10" t="s">
        <v>68</v>
      </c>
      <c r="B11" s="10" t="s">
        <v>69</v>
      </c>
      <c r="C11" s="23">
        <f>0.03*CAPEX!B50</f>
        <v>1.2302313863938941</v>
      </c>
    </row>
    <row r="12" spans="1:3" x14ac:dyDescent="0.25">
      <c r="A12" s="57"/>
      <c r="B12" s="57"/>
      <c r="C12" s="29">
        <f>C11</f>
        <v>1.2302313863938941</v>
      </c>
    </row>
    <row r="13" spans="1:3" x14ac:dyDescent="0.25">
      <c r="A13" s="51" t="s">
        <v>70</v>
      </c>
      <c r="B13" s="52"/>
      <c r="C13" s="53"/>
    </row>
    <row r="14" spans="1:3" x14ac:dyDescent="0.25">
      <c r="A14" s="10" t="s">
        <v>71</v>
      </c>
      <c r="B14" s="10" t="s">
        <v>73</v>
      </c>
      <c r="C14" s="21">
        <f>0.65*(C6+C7+C8+C11)</f>
        <v>5.5710566511560309</v>
      </c>
    </row>
    <row r="15" spans="1:3" x14ac:dyDescent="0.25">
      <c r="A15" s="10" t="s">
        <v>74</v>
      </c>
      <c r="B15" s="10" t="s">
        <v>76</v>
      </c>
      <c r="C15" s="21">
        <f>0.02*(CAPEX!B50+CAPEX!B51)</f>
        <v>1.0662005348747083</v>
      </c>
    </row>
    <row r="16" spans="1:3" x14ac:dyDescent="0.25">
      <c r="A16" s="57"/>
      <c r="B16" s="57"/>
      <c r="C16" s="29">
        <f>SUM(C14:C15)</f>
        <v>6.6372571860307392</v>
      </c>
    </row>
    <row r="17" spans="1:3" x14ac:dyDescent="0.25">
      <c r="A17" s="51" t="s">
        <v>77</v>
      </c>
      <c r="B17" s="52"/>
      <c r="C17" s="53"/>
    </row>
    <row r="18" spans="1:3" x14ac:dyDescent="0.25">
      <c r="A18" s="10" t="s">
        <v>78</v>
      </c>
      <c r="B18" s="10" t="s">
        <v>79</v>
      </c>
      <c r="C18" s="23">
        <f>0.06*CAPEX!B55</f>
        <v>0.67170633697106619</v>
      </c>
    </row>
    <row r="19" spans="1:3" x14ac:dyDescent="0.25">
      <c r="A19" s="57"/>
      <c r="B19" s="57"/>
      <c r="C19" s="17">
        <f>C18</f>
        <v>0.67170633697106619</v>
      </c>
    </row>
    <row r="20" spans="1:3" x14ac:dyDescent="0.25">
      <c r="A20" s="51" t="s">
        <v>82</v>
      </c>
      <c r="B20" s="53"/>
      <c r="C20" s="17">
        <f>C9+C12+C16+C19</f>
        <v>15.8798199093957</v>
      </c>
    </row>
  </sheetData>
  <mergeCells count="10">
    <mergeCell ref="A3:C3"/>
    <mergeCell ref="A5:C5"/>
    <mergeCell ref="A9:B9"/>
    <mergeCell ref="A10:C10"/>
    <mergeCell ref="A20:B20"/>
    <mergeCell ref="A12:B12"/>
    <mergeCell ref="A13:C13"/>
    <mergeCell ref="A16:B16"/>
    <mergeCell ref="A17:C17"/>
    <mergeCell ref="A19:B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0"/>
  <sheetViews>
    <sheetView zoomScale="145" zoomScaleNormal="145" workbookViewId="0">
      <selection activeCell="G10" sqref="G10"/>
    </sheetView>
  </sheetViews>
  <sheetFormatPr defaultColWidth="8.85546875" defaultRowHeight="15" x14ac:dyDescent="0.25"/>
  <cols>
    <col min="1" max="1" width="8.85546875" style="11"/>
    <col min="2" max="2" width="21.42578125" style="11" bestFit="1" customWidth="1"/>
    <col min="3" max="3" width="8.5703125" style="11" bestFit="1" customWidth="1"/>
    <col min="4" max="4" width="8.7109375" style="11" bestFit="1" customWidth="1"/>
    <col min="5" max="5" width="17.42578125" style="11" bestFit="1" customWidth="1"/>
    <col min="6" max="6" width="10" style="11" bestFit="1" customWidth="1"/>
    <col min="7" max="16384" width="8.85546875" style="11"/>
  </cols>
  <sheetData>
    <row r="2" spans="2:7" x14ac:dyDescent="0.25">
      <c r="B2" s="1"/>
    </row>
    <row r="3" spans="2:7" x14ac:dyDescent="0.25">
      <c r="B3" s="13" t="s">
        <v>23</v>
      </c>
      <c r="C3" s="13" t="s">
        <v>29</v>
      </c>
      <c r="D3" s="13" t="s">
        <v>30</v>
      </c>
      <c r="E3" s="13" t="s">
        <v>103</v>
      </c>
      <c r="F3" s="13" t="s">
        <v>100</v>
      </c>
    </row>
    <row r="4" spans="2:7" x14ac:dyDescent="0.25">
      <c r="B4" s="51" t="s">
        <v>101</v>
      </c>
      <c r="C4" s="52"/>
      <c r="D4" s="52"/>
      <c r="E4" s="52"/>
      <c r="F4" s="52"/>
    </row>
    <row r="5" spans="2:7" x14ac:dyDescent="0.25">
      <c r="B5" s="12" t="s">
        <v>99</v>
      </c>
      <c r="C5" s="12" t="s">
        <v>31</v>
      </c>
      <c r="D5" s="23">
        <v>0</v>
      </c>
      <c r="E5" s="42">
        <v>0</v>
      </c>
      <c r="F5" s="42">
        <f>D5*E5</f>
        <v>0</v>
      </c>
    </row>
    <row r="6" spans="2:7" x14ac:dyDescent="0.25">
      <c r="B6" s="12" t="s">
        <v>139</v>
      </c>
      <c r="C6" s="12" t="s">
        <v>31</v>
      </c>
      <c r="D6" s="27">
        <f>2469.37499350752/1000</f>
        <v>2.46937499350752</v>
      </c>
      <c r="E6" s="42">
        <f>1260*C20/C17</f>
        <v>1846.5517241379312</v>
      </c>
      <c r="F6" s="42">
        <f>D6*E6</f>
        <v>4559.8286518044033</v>
      </c>
      <c r="G6" s="11">
        <f>F6/Summary!$C$23</f>
        <v>0.12159689975531821</v>
      </c>
    </row>
    <row r="7" spans="2:7" x14ac:dyDescent="0.25">
      <c r="B7" s="41" t="s">
        <v>138</v>
      </c>
      <c r="C7" s="12" t="s">
        <v>31</v>
      </c>
      <c r="D7" s="27">
        <f>2469.37499350752/1000</f>
        <v>2.46937499350752</v>
      </c>
      <c r="E7" s="42">
        <v>5236.1000000000004</v>
      </c>
      <c r="F7" s="42">
        <f>D7*E7</f>
        <v>12929.894403504726</v>
      </c>
      <c r="G7" s="11">
        <f>F7/Summary!$C$23</f>
        <v>0.34480134971906312</v>
      </c>
    </row>
    <row r="8" spans="2:7" x14ac:dyDescent="0.25">
      <c r="B8" s="41" t="s">
        <v>140</v>
      </c>
      <c r="C8" s="12" t="s">
        <v>31</v>
      </c>
      <c r="D8" s="27">
        <f>115.769357483019/1000</f>
        <v>0.11576935748301899</v>
      </c>
      <c r="E8" s="42">
        <v>567961.80000000005</v>
      </c>
      <c r="F8" s="42">
        <f>D8*E8</f>
        <v>65752.572660898935</v>
      </c>
      <c r="G8" s="11">
        <f>F8/Summary!$C$23</f>
        <v>1.7534231211380544</v>
      </c>
    </row>
    <row r="9" spans="2:7" x14ac:dyDescent="0.25">
      <c r="B9" s="51" t="s">
        <v>102</v>
      </c>
      <c r="C9" s="52"/>
      <c r="D9" s="52"/>
      <c r="E9" s="52"/>
      <c r="F9" s="52"/>
    </row>
    <row r="10" spans="2:7" x14ac:dyDescent="0.25">
      <c r="B10" s="14" t="s">
        <v>24</v>
      </c>
      <c r="C10" s="14" t="s">
        <v>32</v>
      </c>
      <c r="D10" s="9">
        <f>105005442.151052/10^6</f>
        <v>105.00544215105199</v>
      </c>
      <c r="E10" s="48">
        <f>0.38*C20/C19</f>
        <v>0.51041975308641974</v>
      </c>
      <c r="F10" s="42">
        <f>D10*E10</f>
        <v>53.596851855470291</v>
      </c>
      <c r="G10" s="11">
        <f>F10/Summary!$C$23</f>
        <v>1.4292666501166196E-3</v>
      </c>
    </row>
    <row r="11" spans="2:7" x14ac:dyDescent="0.25">
      <c r="B11" s="10" t="s">
        <v>141</v>
      </c>
      <c r="C11" s="10" t="s">
        <v>32</v>
      </c>
      <c r="D11" s="9">
        <f>72169497.7100106/10^6/0.84</f>
        <v>85.916068702393574</v>
      </c>
      <c r="E11" s="48">
        <f>288.06/47.1</f>
        <v>6.1159235668789806</v>
      </c>
      <c r="F11" s="42">
        <f>D11*E11</f>
        <v>525.45610935056243</v>
      </c>
      <c r="G11" s="11">
        <f>F11/Summary!$C$23</f>
        <v>1.4012332202271671E-2</v>
      </c>
    </row>
    <row r="12" spans="2:7" x14ac:dyDescent="0.25">
      <c r="B12" s="14" t="s">
        <v>25</v>
      </c>
      <c r="C12" s="14" t="s">
        <v>33</v>
      </c>
      <c r="D12" s="31">
        <v>3319.36250784</v>
      </c>
      <c r="E12" s="48">
        <f>69.6*C20/C19/1000</f>
        <v>9.3487407407407408E-2</v>
      </c>
      <c r="F12" s="42">
        <f>D12*E12</f>
        <v>310.31859510331162</v>
      </c>
      <c r="G12" s="11">
        <f>F12/Summary!$C$23</f>
        <v>8.2752625114666644E-3</v>
      </c>
    </row>
    <row r="13" spans="2:7" x14ac:dyDescent="0.25">
      <c r="B13" s="4" t="s">
        <v>104</v>
      </c>
      <c r="C13" s="18" t="s">
        <v>37</v>
      </c>
      <c r="D13" s="16"/>
      <c r="E13" s="19"/>
      <c r="F13" s="19">
        <f>(F5+F6+F8+F10+F11+F12)/1000000*8000</f>
        <v>569.61418295210137</v>
      </c>
    </row>
    <row r="14" spans="2:7" x14ac:dyDescent="0.25">
      <c r="B14" s="36" t="s">
        <v>105</v>
      </c>
      <c r="C14" s="18" t="s">
        <v>37</v>
      </c>
      <c r="D14" s="16"/>
      <c r="E14" s="19"/>
      <c r="F14" s="19">
        <f>(F5+F7+F8+F10+F11+F12)/1000000*8000</f>
        <v>636.57470896570408</v>
      </c>
    </row>
    <row r="15" spans="2:7" x14ac:dyDescent="0.25">
      <c r="B15" s="15"/>
      <c r="C15" s="15"/>
      <c r="D15" s="15"/>
      <c r="E15" s="15"/>
      <c r="F15" s="15"/>
    </row>
    <row r="16" spans="2:7" x14ac:dyDescent="0.25">
      <c r="B16" s="28" t="s">
        <v>85</v>
      </c>
      <c r="C16" s="15"/>
      <c r="D16" s="15"/>
      <c r="E16" s="15"/>
      <c r="F16" s="15"/>
    </row>
    <row r="17" spans="2:6" x14ac:dyDescent="0.25">
      <c r="B17" s="14" t="s">
        <v>142</v>
      </c>
      <c r="C17" s="21">
        <v>556.79999999999995</v>
      </c>
      <c r="D17" s="15"/>
      <c r="E17" s="15"/>
      <c r="F17" s="15"/>
    </row>
    <row r="18" spans="2:6" x14ac:dyDescent="0.25">
      <c r="B18" s="14" t="s">
        <v>84</v>
      </c>
      <c r="C18" s="23">
        <v>603.1</v>
      </c>
    </row>
    <row r="19" spans="2:6" x14ac:dyDescent="0.25">
      <c r="B19" s="14" t="s">
        <v>35</v>
      </c>
      <c r="C19" s="21">
        <v>607.5</v>
      </c>
    </row>
    <row r="20" spans="2:6" x14ac:dyDescent="0.25">
      <c r="B20" s="24" t="s">
        <v>91</v>
      </c>
      <c r="C20" s="21">
        <v>816</v>
      </c>
    </row>
  </sheetData>
  <mergeCells count="2">
    <mergeCell ref="B4:F4"/>
    <mergeCell ref="B9:F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4"/>
  <sheetViews>
    <sheetView tabSelected="1" zoomScaleNormal="100" workbookViewId="0">
      <selection activeCell="I10" sqref="I10"/>
    </sheetView>
  </sheetViews>
  <sheetFormatPr defaultRowHeight="15" x14ac:dyDescent="0.25"/>
  <cols>
    <col min="2" max="2" width="39.140625" bestFit="1" customWidth="1"/>
    <col min="3" max="3" width="8.5703125" bestFit="1" customWidth="1"/>
    <col min="5" max="5" width="39.140625" bestFit="1" customWidth="1"/>
    <col min="6" max="6" width="8.5703125" bestFit="1" customWidth="1"/>
  </cols>
  <sheetData>
    <row r="2" spans="2:6" x14ac:dyDescent="0.25">
      <c r="B2" s="57" t="s">
        <v>98</v>
      </c>
      <c r="C2" s="57"/>
      <c r="E2" s="57" t="s">
        <v>106</v>
      </c>
      <c r="F2" s="57"/>
    </row>
    <row r="3" spans="2:6" x14ac:dyDescent="0.25">
      <c r="B3" s="10" t="s">
        <v>93</v>
      </c>
      <c r="C3" s="21">
        <f>CAPEX!B47</f>
        <v>10.964629112245044</v>
      </c>
      <c r="E3" s="10" t="s">
        <v>93</v>
      </c>
      <c r="F3" s="21">
        <f t="shared" ref="F3:F18" si="0">C3</f>
        <v>10.964629112245044</v>
      </c>
    </row>
    <row r="4" spans="2:6" x14ac:dyDescent="0.25">
      <c r="B4" s="26" t="s">
        <v>54</v>
      </c>
      <c r="C4" s="21">
        <f>CAPEX!B50</f>
        <v>41.007712879796472</v>
      </c>
      <c r="E4" s="26" t="s">
        <v>54</v>
      </c>
      <c r="F4" s="21">
        <f t="shared" si="0"/>
        <v>41.007712879796472</v>
      </c>
    </row>
    <row r="5" spans="2:6" x14ac:dyDescent="0.25">
      <c r="B5" s="26" t="s">
        <v>55</v>
      </c>
      <c r="C5" s="21">
        <f>CAPEX!B51</f>
        <v>12.302313863938942</v>
      </c>
      <c r="E5" s="26" t="s">
        <v>55</v>
      </c>
      <c r="F5" s="21">
        <f t="shared" si="0"/>
        <v>12.302313863938942</v>
      </c>
    </row>
    <row r="6" spans="2:6" x14ac:dyDescent="0.25">
      <c r="B6" s="26" t="s">
        <v>75</v>
      </c>
      <c r="C6" s="21">
        <f>CAPEX!B52</f>
        <v>15.993008023120623</v>
      </c>
      <c r="E6" s="26" t="s">
        <v>75</v>
      </c>
      <c r="F6" s="21">
        <f t="shared" si="0"/>
        <v>15.993008023120623</v>
      </c>
    </row>
    <row r="7" spans="2:6" x14ac:dyDescent="0.25">
      <c r="B7" s="26" t="s">
        <v>57</v>
      </c>
      <c r="C7" s="21">
        <f>CAPEX!B53</f>
        <v>5.3310026743735417</v>
      </c>
      <c r="E7" s="26" t="s">
        <v>57</v>
      </c>
      <c r="F7" s="21">
        <f t="shared" si="0"/>
        <v>5.3310026743735417</v>
      </c>
    </row>
    <row r="8" spans="2:6" x14ac:dyDescent="0.25">
      <c r="B8" s="26" t="s">
        <v>58</v>
      </c>
      <c r="C8" s="21">
        <f>CAPEX!B54</f>
        <v>74.63403744122958</v>
      </c>
      <c r="E8" s="26" t="s">
        <v>58</v>
      </c>
      <c r="F8" s="21">
        <f t="shared" si="0"/>
        <v>74.63403744122958</v>
      </c>
    </row>
    <row r="9" spans="2:6" x14ac:dyDescent="0.25">
      <c r="B9" s="26" t="s">
        <v>61</v>
      </c>
      <c r="C9" s="21">
        <f>CAPEX!B55</f>
        <v>11.195105616184437</v>
      </c>
      <c r="E9" s="26" t="s">
        <v>61</v>
      </c>
      <c r="F9" s="21">
        <f t="shared" si="0"/>
        <v>11.195105616184437</v>
      </c>
    </row>
    <row r="10" spans="2:6" x14ac:dyDescent="0.25">
      <c r="B10" s="10" t="s">
        <v>59</v>
      </c>
      <c r="C10" s="21">
        <f>CAPEX!B56</f>
        <v>85.829143057414015</v>
      </c>
      <c r="E10" s="10" t="s">
        <v>59</v>
      </c>
      <c r="F10" s="21">
        <f t="shared" si="0"/>
        <v>85.829143057414015</v>
      </c>
    </row>
    <row r="11" spans="2:6" x14ac:dyDescent="0.25">
      <c r="B11" s="10" t="s">
        <v>80</v>
      </c>
      <c r="C11" s="21">
        <f>SUM('Production costs'!B9)</f>
        <v>0</v>
      </c>
      <c r="E11" s="10" t="s">
        <v>80</v>
      </c>
      <c r="F11" s="21">
        <f t="shared" si="0"/>
        <v>0</v>
      </c>
    </row>
    <row r="12" spans="2:6" x14ac:dyDescent="0.25">
      <c r="B12" s="10" t="s">
        <v>81</v>
      </c>
      <c r="C12" s="21">
        <f>SUM('Production costs'!B12)</f>
        <v>0</v>
      </c>
      <c r="E12" s="10" t="s">
        <v>81</v>
      </c>
      <c r="F12" s="21">
        <f t="shared" si="0"/>
        <v>0</v>
      </c>
    </row>
    <row r="13" spans="2:6" x14ac:dyDescent="0.25">
      <c r="B13" s="10" t="s">
        <v>70</v>
      </c>
      <c r="C13" s="21">
        <f>SUM('Production costs'!B16)</f>
        <v>0</v>
      </c>
      <c r="E13" s="10" t="s">
        <v>70</v>
      </c>
      <c r="F13" s="21">
        <f t="shared" si="0"/>
        <v>0</v>
      </c>
    </row>
    <row r="14" spans="2:6" x14ac:dyDescent="0.25">
      <c r="B14" s="10" t="s">
        <v>77</v>
      </c>
      <c r="C14" s="21">
        <f>SUM('Production costs'!B19)</f>
        <v>0</v>
      </c>
      <c r="E14" s="10" t="s">
        <v>77</v>
      </c>
      <c r="F14" s="21">
        <f t="shared" si="0"/>
        <v>0</v>
      </c>
    </row>
    <row r="15" spans="2:6" x14ac:dyDescent="0.25">
      <c r="B15" s="10" t="s">
        <v>26</v>
      </c>
      <c r="C15" s="21">
        <v>25</v>
      </c>
      <c r="E15" s="10" t="s">
        <v>26</v>
      </c>
      <c r="F15" s="21">
        <f t="shared" si="0"/>
        <v>25</v>
      </c>
    </row>
    <row r="16" spans="2:6" x14ac:dyDescent="0.25">
      <c r="B16" s="10" t="s">
        <v>27</v>
      </c>
      <c r="C16" s="21">
        <v>0.12</v>
      </c>
      <c r="E16" s="10" t="s">
        <v>27</v>
      </c>
      <c r="F16" s="21">
        <f t="shared" si="0"/>
        <v>0.12</v>
      </c>
    </row>
    <row r="17" spans="2:6" x14ac:dyDescent="0.25">
      <c r="B17" s="10" t="s">
        <v>28</v>
      </c>
      <c r="C17" s="20">
        <v>0.12749996980950773</v>
      </c>
      <c r="E17" s="10" t="s">
        <v>28</v>
      </c>
      <c r="F17" s="20">
        <f t="shared" si="0"/>
        <v>0.12749996980950773</v>
      </c>
    </row>
    <row r="18" spans="2:6" x14ac:dyDescent="0.25">
      <c r="B18" s="13" t="s">
        <v>36</v>
      </c>
      <c r="C18" s="17">
        <f>CAPEX!B61</f>
        <v>10.943213148596207</v>
      </c>
      <c r="E18" s="13" t="s">
        <v>36</v>
      </c>
      <c r="F18" s="17">
        <f t="shared" si="0"/>
        <v>10.943213148596207</v>
      </c>
    </row>
    <row r="19" spans="2:6" x14ac:dyDescent="0.25">
      <c r="B19" s="13" t="s">
        <v>97</v>
      </c>
      <c r="C19" s="17">
        <v>0</v>
      </c>
      <c r="E19" s="13" t="s">
        <v>97</v>
      </c>
      <c r="F19" s="17">
        <v>0</v>
      </c>
    </row>
    <row r="20" spans="2:6" x14ac:dyDescent="0.25">
      <c r="B20" s="13" t="s">
        <v>86</v>
      </c>
      <c r="C20" s="17">
        <f>OPEX!F13</f>
        <v>569.61418295210137</v>
      </c>
      <c r="E20" s="13" t="s">
        <v>86</v>
      </c>
      <c r="F20" s="17">
        <f>OPEX!F14</f>
        <v>636.57470896570408</v>
      </c>
    </row>
    <row r="21" spans="2:6" x14ac:dyDescent="0.25">
      <c r="B21" s="13" t="s">
        <v>96</v>
      </c>
      <c r="C21" s="17">
        <f>(C18+C19+C20)</f>
        <v>580.55739610069759</v>
      </c>
      <c r="E21" s="13" t="s">
        <v>96</v>
      </c>
      <c r="F21" s="17">
        <f>(F18+F19+F20)</f>
        <v>647.51792211430029</v>
      </c>
    </row>
    <row r="22" spans="2:6" x14ac:dyDescent="0.25">
      <c r="B22" s="13" t="s">
        <v>95</v>
      </c>
      <c r="C22" s="17">
        <f>(C21)*1000000/8000</f>
        <v>72569.674512587211</v>
      </c>
      <c r="E22" s="13" t="s">
        <v>95</v>
      </c>
      <c r="F22" s="17">
        <f>(F21)*1000000/8000</f>
        <v>80939.740264287539</v>
      </c>
    </row>
    <row r="23" spans="2:6" x14ac:dyDescent="0.25">
      <c r="B23" s="28" t="s">
        <v>94</v>
      </c>
      <c r="C23" s="17">
        <v>37499.546953745201</v>
      </c>
      <c r="E23" s="28" t="s">
        <v>94</v>
      </c>
      <c r="F23" s="17">
        <f>C23</f>
        <v>37499.546953745201</v>
      </c>
    </row>
    <row r="24" spans="2:6" x14ac:dyDescent="0.25">
      <c r="B24" s="30" t="s">
        <v>107</v>
      </c>
      <c r="C24" s="44">
        <f>C22/C23</f>
        <v>1.9352147001162487</v>
      </c>
      <c r="E24" s="30" t="s">
        <v>107</v>
      </c>
      <c r="F24" s="44">
        <f>F22/F23</f>
        <v>2.1584191500799936</v>
      </c>
    </row>
  </sheetData>
  <mergeCells count="2">
    <mergeCell ref="B2:C2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2025-02-16T16:55:19Z</dcterms:modified>
</cp:coreProperties>
</file>