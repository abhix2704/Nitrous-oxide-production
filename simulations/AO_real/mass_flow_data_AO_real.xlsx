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_real\"/>
    </mc:Choice>
  </mc:AlternateContent>
  <xr:revisionPtr revIDLastSave="0" documentId="13_ncr:1_{6ECD123E-5B9A-457A-A7DF-6331689BA7DA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E10" i="1"/>
  <c r="E3" i="3"/>
  <c r="E2" i="3" l="1"/>
  <c r="E9" i="3" l="1"/>
  <c r="E8" i="3"/>
  <c r="C5" i="2" l="1"/>
  <c r="C6" i="2"/>
  <c r="C7" i="2"/>
  <c r="C4" i="2"/>
  <c r="B8" i="2"/>
  <c r="D5" i="1" l="1"/>
  <c r="C3" i="2" l="1"/>
  <c r="C8" i="2" s="1"/>
  <c r="E8" i="1" l="1"/>
  <c r="E7" i="1" l="1"/>
  <c r="F7" i="1" s="1"/>
  <c r="E6" i="1" l="1"/>
  <c r="E5" i="1"/>
  <c r="E4" i="1"/>
  <c r="C3" i="3" l="1"/>
  <c r="D3" i="3" s="1"/>
  <c r="C2" i="3"/>
  <c r="D2" i="3" s="1"/>
</calcChain>
</file>

<file path=xl/sharedStrings.xml><?xml version="1.0" encoding="utf-8"?>
<sst xmlns="http://schemas.openxmlformats.org/spreadsheetml/2006/main" count="51" uniqueCount="33">
  <si>
    <t>Component</t>
  </si>
  <si>
    <t>Type</t>
  </si>
  <si>
    <t>Mass flow (kg/hr)</t>
  </si>
  <si>
    <t>Water</t>
  </si>
  <si>
    <t>kWh</t>
  </si>
  <si>
    <t>Compressor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</si>
  <si>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</si>
  <si>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</si>
  <si>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</si>
  <si>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</si>
  <si>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</si>
  <si>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</si>
  <si>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</si>
  <si>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</si>
  <si>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</si>
  <si>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t>Nitrous oxide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</si>
  <si>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</si>
  <si>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</si>
  <si>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</si>
  <si>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</si>
  <si>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</si>
  <si>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</si>
  <si>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</si>
  <si>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</si>
  <si>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Oxygen</t>
  </si>
  <si>
    <t>Hydrogen</t>
  </si>
  <si>
    <r>
      <t>Final product: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</si>
  <si>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Anthroquinone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</si>
  <si>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</si>
  <si>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Pump</t>
  </si>
  <si>
    <r>
      <t>kWh/kg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</si>
  <si>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Natural gas</t>
  </si>
  <si>
    <r>
      <t>Mass/kg 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</si>
</sst>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164" fontId="0" fillId="0" borderId="0" xfId="0" applyNumberFormat="1"/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15" zoomScaleNormal="115" workbookViewId="0">
      <selection activeCell="D16" sqref="D16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3.42578125" style="1" bestFit="1" customWidth="1"/>
    <col min="6" max="16384" width="9" style="1"/>
  </cols>
  <sheetData>
    <row r="1" spans="1:6" ht="18" x14ac:dyDescent="0.35">
      <c r="A1" s="2" t="s">
        <v>26</v>
      </c>
    </row>
    <row r="2" spans="1:6" x14ac:dyDescent="0.25">
      <c r="A2" s="2"/>
    </row>
    <row r="3" spans="1:6" ht="18" x14ac:dyDescent="0.35">
      <c r="A3" s="6" t="s">
        <v>19</v>
      </c>
      <c r="B3" s="6" t="s">
        <v>0</v>
      </c>
      <c r="C3" s="6" t="s">
        <v>1</v>
      </c>
      <c r="D3" s="6" t="s">
        <v>2</v>
      </c>
      <c r="E3" s="6" t="s">
        <v>32</v>
      </c>
    </row>
    <row r="4" spans="1:6" ht="18" customHeight="1" x14ac:dyDescent="0.25">
      <c r="A4" s="3" t="s">
        <v>25</v>
      </c>
      <c r="B4" s="3" t="s">
        <v>25</v>
      </c>
      <c r="C4" s="3" t="s">
        <v>16</v>
      </c>
      <c r="D4" s="4">
        <v>2469.3749935075198</v>
      </c>
      <c r="E4" s="5">
        <f t="shared" ref="E4:E10" si="0">D4/$D$10</f>
        <v>6.5856585494280209E-2</v>
      </c>
    </row>
    <row r="5" spans="1:6" ht="18" x14ac:dyDescent="0.35">
      <c r="A5" s="3" t="s">
        <v>27</v>
      </c>
      <c r="B5" s="3" t="s">
        <v>27</v>
      </c>
      <c r="C5" s="3" t="s">
        <v>16</v>
      </c>
      <c r="D5" s="4">
        <f>289421.705292985-289305.935935502</f>
        <v>115.76935748301912</v>
      </c>
      <c r="E5" s="5">
        <f t="shared" si="0"/>
        <v>3.0874916157909655E-3</v>
      </c>
    </row>
    <row r="6" spans="1:6" x14ac:dyDescent="0.25">
      <c r="A6" s="3" t="s">
        <v>24</v>
      </c>
      <c r="B6" s="3" t="s">
        <v>24</v>
      </c>
      <c r="C6" s="3" t="s">
        <v>16</v>
      </c>
      <c r="D6" s="4">
        <v>35277.562506496797</v>
      </c>
      <c r="E6" s="5">
        <f t="shared" si="0"/>
        <v>0.94082908320819425</v>
      </c>
    </row>
    <row r="7" spans="1:6" x14ac:dyDescent="0.25">
      <c r="A7" s="3" t="s">
        <v>3</v>
      </c>
      <c r="B7" s="3" t="s">
        <v>3</v>
      </c>
      <c r="C7" s="3" t="s">
        <v>17</v>
      </c>
      <c r="D7" s="4">
        <v>21379.226143766398</v>
      </c>
      <c r="E7" s="5">
        <f t="shared" si="0"/>
        <v>0.57016971421526419</v>
      </c>
      <c r="F7" s="1">
        <f>E7/1000</f>
        <v>5.7016971421526422E-4</v>
      </c>
    </row>
    <row r="8" spans="1:6" x14ac:dyDescent="0.25">
      <c r="A8" s="3" t="s">
        <v>23</v>
      </c>
      <c r="B8" s="3" t="s">
        <v>25</v>
      </c>
      <c r="C8" s="3" t="s">
        <v>17</v>
      </c>
      <c r="D8" s="4">
        <v>245.83018157332799</v>
      </c>
      <c r="E8" s="5">
        <f t="shared" si="0"/>
        <v>6.5561271222166857E-3</v>
      </c>
    </row>
    <row r="9" spans="1:6" x14ac:dyDescent="0.25">
      <c r="A9" s="3" t="s">
        <v>23</v>
      </c>
      <c r="B9" s="3" t="s">
        <v>27</v>
      </c>
      <c r="C9" s="3" t="s">
        <v>17</v>
      </c>
      <c r="D9" s="4">
        <v>115.768681846863</v>
      </c>
      <c r="E9" s="5">
        <f t="shared" si="0"/>
        <v>3.0874735970249237E-3</v>
      </c>
    </row>
    <row r="10" spans="1:6" ht="18" x14ac:dyDescent="0.35">
      <c r="A10" s="3" t="s">
        <v>28</v>
      </c>
      <c r="B10" s="3" t="s">
        <v>15</v>
      </c>
      <c r="C10" s="3" t="s">
        <v>18</v>
      </c>
      <c r="D10" s="4">
        <v>37496.249994952901</v>
      </c>
      <c r="E10" s="5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8"/>
  <sheetViews>
    <sheetView zoomScale="160" zoomScaleNormal="160" workbookViewId="0">
      <selection activeCell="C8" sqref="C8"/>
    </sheetView>
  </sheetViews>
  <sheetFormatPr defaultRowHeight="15" x14ac:dyDescent="0.25"/>
  <cols>
    <col min="1" max="1" width="15.7109375" style="1" bestFit="1" customWidth="1"/>
    <col min="2" max="2" width="11.7109375" style="1" bestFit="1" customWidth="1"/>
    <col min="3" max="3" width="11.42578125" style="1" bestFit="1" customWidth="1"/>
    <col min="5" max="5" width="10.140625" bestFit="1" customWidth="1"/>
    <col min="6" max="6" width="11.140625" bestFit="1" customWidth="1"/>
  </cols>
  <sheetData>
    <row r="2" spans="1:5" ht="18" x14ac:dyDescent="0.35">
      <c r="A2" s="6" t="s">
        <v>1</v>
      </c>
      <c r="B2" s="6" t="s">
        <v>4</v>
      </c>
      <c r="C2" s="6" t="s">
        <v>30</v>
      </c>
    </row>
    <row r="3" spans="1:5" x14ac:dyDescent="0.25">
      <c r="A3" s="3" t="s">
        <v>5</v>
      </c>
      <c r="B3" s="4">
        <v>761.73267999999996</v>
      </c>
      <c r="C3" s="5">
        <f>B3/'Material streams'!$D$10</f>
        <v>2.0314902959696804E-2</v>
      </c>
      <c r="D3" s="15"/>
      <c r="E3" s="15"/>
    </row>
    <row r="4" spans="1:5" x14ac:dyDescent="0.25">
      <c r="A4" s="3" t="s">
        <v>5</v>
      </c>
      <c r="B4" s="4">
        <v>1815.50208</v>
      </c>
      <c r="C4" s="5">
        <f>B4/'Material streams'!$D$10</f>
        <v>4.8418230629579534E-2</v>
      </c>
      <c r="D4" s="15"/>
      <c r="E4" s="15"/>
    </row>
    <row r="5" spans="1:5" x14ac:dyDescent="0.25">
      <c r="A5" s="3" t="s">
        <v>5</v>
      </c>
      <c r="B5" s="19">
        <v>681.30459800000006</v>
      </c>
      <c r="C5" s="5">
        <f>B5/'Material streams'!$D$10</f>
        <v>1.8169939609739789E-2</v>
      </c>
      <c r="D5" s="15"/>
      <c r="E5" s="15"/>
    </row>
    <row r="6" spans="1:5" x14ac:dyDescent="0.25">
      <c r="A6" s="18" t="s">
        <v>29</v>
      </c>
      <c r="B6" s="19">
        <v>6.0625453399999998</v>
      </c>
      <c r="C6" s="5">
        <f>B6/'Material streams'!$D$10</f>
        <v>1.6168404415951022E-4</v>
      </c>
      <c r="D6" s="15"/>
      <c r="E6" s="15"/>
    </row>
    <row r="7" spans="1:5" x14ac:dyDescent="0.25">
      <c r="A7" s="18" t="s">
        <v>29</v>
      </c>
      <c r="B7" s="19">
        <v>54.760604499999999</v>
      </c>
      <c r="C7" s="5">
        <f>B7/'Material streams'!$D$10</f>
        <v>1.4604288297461994E-3</v>
      </c>
      <c r="D7" s="15"/>
      <c r="E7" s="15"/>
    </row>
    <row r="8" spans="1:5" ht="14.25" customHeight="1" x14ac:dyDescent="0.25">
      <c r="A8" s="12" t="s">
        <v>6</v>
      </c>
      <c r="B8" s="13">
        <f>SUM(B3:B7)</f>
        <v>3319.36250784</v>
      </c>
      <c r="C8" s="16">
        <f>SUM(C3:C7)</f>
        <v>8.8525186072921841E-2</v>
      </c>
      <c r="D8" s="14"/>
      <c r="E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E2" sqref="E2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7</v>
      </c>
      <c r="B1" s="6" t="s">
        <v>8</v>
      </c>
      <c r="C1" s="6" t="s">
        <v>21</v>
      </c>
      <c r="D1" s="8" t="s">
        <v>22</v>
      </c>
    </row>
    <row r="2" spans="1:8" x14ac:dyDescent="0.25">
      <c r="A2" s="3" t="s">
        <v>14</v>
      </c>
      <c r="B2" s="4">
        <v>105005442.151052</v>
      </c>
      <c r="C2" s="4">
        <f>B2/B8/E8</f>
        <v>5020580.5475042788</v>
      </c>
      <c r="D2" s="4">
        <f>C2/'Material streams'!$D$10</f>
        <v>133.89553750521887</v>
      </c>
      <c r="E2" s="17">
        <f>B2/1000/'Material streams'!D10</f>
        <v>2.8004251669216531</v>
      </c>
      <c r="H2" s="10"/>
    </row>
    <row r="3" spans="1:8" x14ac:dyDescent="0.25">
      <c r="A3" s="3" t="s">
        <v>31</v>
      </c>
      <c r="B3" s="4">
        <v>72169497.710010603</v>
      </c>
      <c r="C3" s="4">
        <f>B3/B9/E9</f>
        <v>1532.2610978770829</v>
      </c>
      <c r="D3" s="4">
        <f>C3/'Material streams'!$D$10</f>
        <v>4.0864382387127501E-2</v>
      </c>
      <c r="E3" s="17">
        <f>B3/1000/'Material streams'!D10</f>
        <v>1.9247124104337052</v>
      </c>
    </row>
    <row r="6" spans="1:8" x14ac:dyDescent="0.25">
      <c r="A6" s="7" t="s">
        <v>20</v>
      </c>
    </row>
    <row r="7" spans="1:8" ht="18" x14ac:dyDescent="0.35">
      <c r="A7" s="6" t="s">
        <v>7</v>
      </c>
      <c r="B7" s="6" t="s">
        <v>9</v>
      </c>
      <c r="C7" s="9" t="s">
        <v>11</v>
      </c>
      <c r="D7" s="9" t="s">
        <v>12</v>
      </c>
      <c r="E7" s="9" t="s">
        <v>10</v>
      </c>
    </row>
    <row r="8" spans="1:8" x14ac:dyDescent="0.25">
      <c r="A8" s="3" t="s">
        <v>14</v>
      </c>
      <c r="B8" s="4">
        <v>4.1829999999999998</v>
      </c>
      <c r="C8" s="3">
        <v>15</v>
      </c>
      <c r="D8" s="3">
        <v>20</v>
      </c>
      <c r="E8" s="3">
        <f>D8-C8</f>
        <v>5</v>
      </c>
    </row>
    <row r="9" spans="1:8" x14ac:dyDescent="0.25">
      <c r="A9" s="3" t="s">
        <v>31</v>
      </c>
      <c r="B9" s="4">
        <v>47100</v>
      </c>
      <c r="C9" s="3">
        <v>1247</v>
      </c>
      <c r="D9" s="3">
        <v>1246</v>
      </c>
      <c r="E9" s="3">
        <f>C9-D9</f>
        <v>1</v>
      </c>
    </row>
    <row r="11" spans="1:8" x14ac:dyDescent="0.25">
      <c r="E11" s="11"/>
    </row>
    <row r="12" spans="1:8" x14ac:dyDescent="0.25">
      <c r="A12" t="s">
        <v>13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2025-02-16T16:11:46Z</dcterms:modified>
</cp:coreProperties>
</file>